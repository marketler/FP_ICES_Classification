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3"/>
  <workbookPr/>
  <mc:AlternateContent xmlns:mc="http://schemas.openxmlformats.org/markup-compatibility/2006">
    <mc:Choice Requires="x15">
      <x15ac:absPath xmlns:x15ac="http://schemas.microsoft.com/office/spreadsheetml/2010/11/ac" url="P:\DP1\projects\Acoustic\Format docs\ICES_Acoustic_data_format_description\CSV\"/>
    </mc:Choice>
  </mc:AlternateContent>
  <xr:revisionPtr revIDLastSave="0" documentId="13_ncr:1_{FF499317-358A-4651-9EF5-533AA877827D}" xr6:coauthVersionLast="36" xr6:coauthVersionMax="36" xr10:uidLastSave="{00000000-0000-0000-0000-000000000000}"/>
  <bookViews>
    <workbookView xWindow="0" yWindow="0" windowWidth="28800" windowHeight="11700" xr2:uid="{00000000-000D-0000-FFFF-FFFF00000000}"/>
  </bookViews>
  <sheets>
    <sheet name="CSV format description" sheetId="1" r:id="rId1"/>
    <sheet name="Data example" sheetId="2" r:id="rId2"/>
  </sheets>
  <definedNames>
    <definedName name="_xlnm._FilterDatabase" localSheetId="0" hidden="1">'CSV format description'!$A$1:$H$100</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4" i="1" l="1"/>
  <c r="C55" i="1" l="1"/>
  <c r="C68" i="1" l="1"/>
  <c r="C64" i="1"/>
  <c r="C84" i="1" l="1"/>
  <c r="C65" i="1" l="1"/>
  <c r="C88" i="1" l="1"/>
  <c r="C86" i="1"/>
  <c r="C72" i="1"/>
  <c r="C66" i="1"/>
  <c r="C61" i="1" l="1"/>
  <c r="C63" i="1"/>
  <c r="C54" i="1"/>
  <c r="C85" i="1" l="1"/>
  <c r="C87" i="1"/>
  <c r="C89" i="1"/>
  <c r="C90" i="1"/>
  <c r="C91" i="1"/>
  <c r="C92" i="1"/>
  <c r="C93" i="1"/>
  <c r="C95" i="1"/>
  <c r="C96" i="1"/>
  <c r="C97" i="1"/>
  <c r="C98" i="1"/>
  <c r="C99" i="1"/>
  <c r="C100" i="1"/>
  <c r="C62" i="1"/>
  <c r="C67" i="1"/>
  <c r="C69" i="1"/>
  <c r="C70" i="1"/>
  <c r="C71" i="1"/>
  <c r="C73" i="1"/>
  <c r="C74" i="1"/>
  <c r="C75" i="1"/>
  <c r="C76" i="1"/>
  <c r="C27" i="1"/>
  <c r="C28" i="1"/>
  <c r="C29" i="1"/>
  <c r="C30" i="1"/>
  <c r="C31" i="1"/>
  <c r="C32" i="1"/>
  <c r="C33" i="1"/>
  <c r="C34" i="1"/>
  <c r="C35" i="1"/>
  <c r="C36" i="1"/>
  <c r="C37" i="1"/>
  <c r="C38" i="1"/>
  <c r="C39" i="1"/>
  <c r="C40" i="1"/>
  <c r="C41" i="1"/>
  <c r="C42" i="1"/>
  <c r="C43" i="1"/>
  <c r="C44" i="1"/>
  <c r="C45" i="1"/>
  <c r="C46" i="1"/>
  <c r="C47" i="1"/>
  <c r="C48" i="1"/>
  <c r="C49" i="1"/>
  <c r="C50" i="1"/>
  <c r="C51" i="1"/>
  <c r="C52" i="1"/>
  <c r="C53" i="1"/>
  <c r="C26" i="1"/>
  <c r="C25" i="1"/>
  <c r="C24" i="1"/>
  <c r="C19" i="1"/>
  <c r="C10" i="1" l="1"/>
  <c r="C9" i="1"/>
  <c r="C8" i="1"/>
  <c r="C7" i="1"/>
  <c r="C6" i="1"/>
  <c r="C5" i="1"/>
  <c r="C4" i="1"/>
</calcChain>
</file>

<file path=xl/sharedStrings.xml><?xml version="1.0" encoding="utf-8"?>
<sst xmlns="http://schemas.openxmlformats.org/spreadsheetml/2006/main" count="851" uniqueCount="392">
  <si>
    <t>Record Header</t>
  </si>
  <si>
    <t>Field</t>
  </si>
  <si>
    <t>Field Header</t>
  </si>
  <si>
    <t>Field Status</t>
  </si>
  <si>
    <t>Datatype</t>
  </si>
  <si>
    <t>Field definition</t>
  </si>
  <si>
    <t>Options</t>
  </si>
  <si>
    <t>Example</t>
  </si>
  <si>
    <t>Cruise</t>
  </si>
  <si>
    <t>Key field</t>
  </si>
  <si>
    <t>mandatory</t>
  </si>
  <si>
    <t>string</t>
  </si>
  <si>
    <t>Key field used to identify record type</t>
  </si>
  <si>
    <t>Header/Record</t>
  </si>
  <si>
    <t>Key field used to identify header and record rows</t>
  </si>
  <si>
    <t>Header, Record</t>
  </si>
  <si>
    <t>Header</t>
  </si>
  <si>
    <t>http://vocab.ices.dk/?ref=1453</t>
  </si>
  <si>
    <t>http://vocab.ices.dk/?ref=337</t>
  </si>
  <si>
    <t>DK</t>
  </si>
  <si>
    <t>optional</t>
  </si>
  <si>
    <t>integer</t>
  </si>
  <si>
    <t>http://vocab.ices.dk/?ref=1398</t>
  </si>
  <si>
    <t>http://vocab.ices.dk/?ref=315</t>
  </si>
  <si>
    <t>StartDate</t>
  </si>
  <si>
    <t>string(10)</t>
  </si>
  <si>
    <t>Cruise start date using ISO 8611: YYYY-MM-DD</t>
  </si>
  <si>
    <t>2016-01-01</t>
  </si>
  <si>
    <t>EndDate</t>
  </si>
  <si>
    <t>Cruise end date using ISO 8611: YYYY-MM-DD</t>
  </si>
  <si>
    <t>End date must be higher than the start date</t>
  </si>
  <si>
    <t>2016-01-21</t>
  </si>
  <si>
    <t>LocalID</t>
  </si>
  <si>
    <t>National cruise identifier</t>
  </si>
  <si>
    <t>MinTrawlDepth</t>
  </si>
  <si>
    <t>MaxTrawlDepth</t>
  </si>
  <si>
    <t>Distance</t>
  </si>
  <si>
    <t>Netopening</t>
  </si>
  <si>
    <t>CodendMesh</t>
  </si>
  <si>
    <t>DoorType</t>
  </si>
  <si>
    <t>DoorSurface</t>
  </si>
  <si>
    <t>DoorSpread</t>
  </si>
  <si>
    <t>WingSpread</t>
  </si>
  <si>
    <t>Buoyancy</t>
  </si>
  <si>
    <t>Rigging</t>
  </si>
  <si>
    <t>Tickler</t>
  </si>
  <si>
    <t>SpeedWater</t>
  </si>
  <si>
    <t>WindSpeed</t>
  </si>
  <si>
    <t>SwellHeight</t>
  </si>
  <si>
    <t>Start fishing position: Degree.Decimal Degree of latitude</t>
  </si>
  <si>
    <t>Start fishing position: Degree.Decimal Degree of longitude.</t>
  </si>
  <si>
    <t>Stop fishing position: Degree.Decimal Degree of latitude.</t>
  </si>
  <si>
    <t>Stop fishing position: Degree.Decimal Degree of longitude.</t>
  </si>
  <si>
    <t>FishID</t>
  </si>
  <si>
    <t xml:space="preserve">Length of warp in metres. Defined by fishing depth. </t>
  </si>
  <si>
    <t>Warp diameter in millimetres.</t>
  </si>
  <si>
    <t>Warp weight in kg per linear meter of warp.</t>
  </si>
  <si>
    <t>Door surface area in square metres.</t>
  </si>
  <si>
    <t>Door weight in kilograms.</t>
  </si>
  <si>
    <t>Mean value in metres of door spread measurements.</t>
  </si>
  <si>
    <t xml:space="preserve">Mean value in metres of wing spread measurements. </t>
  </si>
  <si>
    <t>Total buoyancy of the net floats in kilograms.</t>
  </si>
  <si>
    <t>Kite area in square metres.</t>
  </si>
  <si>
    <t xml:space="preserve">Ground rope total weight in kilograms. </t>
  </si>
  <si>
    <t>Rigging is used in the beam trawl surveys.</t>
  </si>
  <si>
    <t>Number of ticklers in the Beam trawl surveys.</t>
  </si>
  <si>
    <t>The national hydrographic station reference</t>
  </si>
  <si>
    <t>Direction of towing in degrees. 360=direction from south to north.</t>
  </si>
  <si>
    <t>Ground speed of towing in knots.</t>
  </si>
  <si>
    <t>Trawl speed on water in knots.</t>
  </si>
  <si>
    <t>Direction of wind in degrees. Calm=0, 360=direction from north to south.</t>
  </si>
  <si>
    <t>Speed of wind in metres/sec.</t>
  </si>
  <si>
    <t>Direction of swell in degrees. No movement=0, 360=direction from south to north.</t>
  </si>
  <si>
    <t>Height in metres of the formation of long wavelength ocean surface waves defined as swell</t>
  </si>
  <si>
    <t>Actual distance in metres between haul start and haul end point.</t>
  </si>
  <si>
    <t>Mean value in metres of vertical net opening measurements</t>
  </si>
  <si>
    <t>Station number. National coding system, not defined by ICES</t>
  </si>
  <si>
    <t>Haul duration in minutes. Start time - the moment when the gear settles at the stated towing speed. Stop is defined as the start of hauling of the gear.</t>
  </si>
  <si>
    <t>decimal</t>
  </si>
  <si>
    <t>Haul</t>
  </si>
  <si>
    <t>Catch</t>
  </si>
  <si>
    <t>Biology</t>
  </si>
  <si>
    <t>StationName</t>
  </si>
  <si>
    <t>string(16)</t>
  </si>
  <si>
    <t>2016-01-01T14:55</t>
  </si>
  <si>
    <t>StartTime</t>
  </si>
  <si>
    <t>Haul start time (GMT) using ISO 8601 format YYYY-MM-DDThh:mm or YYYY-MM-DD hh:mm</t>
  </si>
  <si>
    <t>Duration</t>
  </si>
  <si>
    <t>HaulStationName</t>
  </si>
  <si>
    <t>HaulStartTime</t>
  </si>
  <si>
    <t>HaulDuration</t>
  </si>
  <si>
    <t>StartLatitude</t>
  </si>
  <si>
    <t>StartLongitude</t>
  </si>
  <si>
    <t>HaulStopLatitude</t>
  </si>
  <si>
    <t>HaulStopLongitude</t>
  </si>
  <si>
    <t>StopLongitude</t>
  </si>
  <si>
    <t>StopLatitude</t>
  </si>
  <si>
    <t>HaulStartLatitude</t>
  </si>
  <si>
    <t>HaulStartLongitude</t>
  </si>
  <si>
    <t>StatisticalRectangle</t>
  </si>
  <si>
    <t>BottomDepth</t>
  </si>
  <si>
    <t>Validity</t>
  </si>
  <si>
    <t>SweepLength</t>
  </si>
  <si>
    <t>GearExceptions</t>
  </si>
  <si>
    <t>WarpLength</t>
  </si>
  <si>
    <t>WarpDiameter</t>
  </si>
  <si>
    <t>WarpDensity</t>
  </si>
  <si>
    <t>DoorWeight</t>
  </si>
  <si>
    <t>KiteArea</t>
  </si>
  <si>
    <t>GroundRopeWeight</t>
  </si>
  <si>
    <t>HydrographicStationID</t>
  </si>
  <si>
    <t>TowDirection</t>
  </si>
  <si>
    <t>SwellDirection</t>
  </si>
  <si>
    <t>WindDirection</t>
  </si>
  <si>
    <t>SpeedGround</t>
  </si>
  <si>
    <t>SubsamplingFactor</t>
  </si>
  <si>
    <t>SubsampleWeight</t>
  </si>
  <si>
    <t>NumberAtLength</t>
  </si>
  <si>
    <t>CruiseLocalID</t>
  </si>
  <si>
    <t>LengthClass</t>
  </si>
  <si>
    <t>Survey</t>
  </si>
  <si>
    <t>Country</t>
  </si>
  <si>
    <t>Organisation</t>
  </si>
  <si>
    <t>Platform</t>
  </si>
  <si>
    <t>Gear</t>
  </si>
  <si>
    <t>HaulGear</t>
  </si>
  <si>
    <t>DataType</t>
  </si>
  <si>
    <t>SpeciesValidity</t>
  </si>
  <si>
    <t>LengthType</t>
  </si>
  <si>
    <t>MaturityScale</t>
  </si>
  <si>
    <t>AgePlusGroup</t>
  </si>
  <si>
    <t>AgeSource</t>
  </si>
  <si>
    <t>SubsampledNumber</t>
  </si>
  <si>
    <t>recommended</t>
  </si>
  <si>
    <t>IndividualWeight</t>
  </si>
  <si>
    <t>IndividualSex</t>
  </si>
  <si>
    <t>IndividualMaturity</t>
  </si>
  <si>
    <t>IndividualAge</t>
  </si>
  <si>
    <t>IndividualVertebraeCount</t>
  </si>
  <si>
    <t>WeightAtLength</t>
  </si>
  <si>
    <t>WeightUnit</t>
  </si>
  <si>
    <t>LengthCode</t>
  </si>
  <si>
    <t>SpeciesSex</t>
  </si>
  <si>
    <t>SpeciesCategory</t>
  </si>
  <si>
    <t>Number</t>
  </si>
  <si>
    <t>HaulNumber</t>
  </si>
  <si>
    <t>SpeciesCode</t>
  </si>
  <si>
    <t>StockCode</t>
  </si>
  <si>
    <t>LogDistance</t>
  </si>
  <si>
    <t>individual weight</t>
  </si>
  <si>
    <t>GeneticSamplingFlag</t>
  </si>
  <si>
    <t>StomachSamplingFlag</t>
  </si>
  <si>
    <t>ParasiteSamplingFlag</t>
  </si>
  <si>
    <t>http://vocab.ices.dk/?ref=1483</t>
  </si>
  <si>
    <t>http://vocab.ices.dk/?ref=1482</t>
  </si>
  <si>
    <t>http://vocab.ices.dk/?ref=1484</t>
  </si>
  <si>
    <t>http://vocab.ices.dk/?ref=1481</t>
  </si>
  <si>
    <t>http://vocab.ices.dk/?ref=1480</t>
  </si>
  <si>
    <t>http://vocab.ices.dk/?ref=1478</t>
  </si>
  <si>
    <t>http://vocab.ices.dk/?ref=357</t>
  </si>
  <si>
    <t>CatchSpeciesCode</t>
  </si>
  <si>
    <t>http://vocab.ices.dk/?ref=365</t>
  </si>
  <si>
    <t>http://vocab.ices.dk/?ref=2</t>
  </si>
  <si>
    <t>http://vocab.ices.dk/?ref=1479</t>
  </si>
  <si>
    <t>http://vocab.ices.dk/?ref=1485</t>
  </si>
  <si>
    <t>http://vocab.ices.dk/?ref=1475</t>
  </si>
  <si>
    <t>http://vocab.ices.dk/?ref=1477</t>
  </si>
  <si>
    <t>http://vocab.ices.dk/?ref=1476</t>
  </si>
  <si>
    <t>http://vocab.ices.dk/?ref=1474</t>
  </si>
  <si>
    <t>http://vocab.ices.dk/?ref=1486</t>
  </si>
  <si>
    <t>http://vocab.ices.dk/?ref=1488</t>
  </si>
  <si>
    <t>26D1</t>
  </si>
  <si>
    <t>26D1201601</t>
  </si>
  <si>
    <t>Record</t>
  </si>
  <si>
    <t>HaulValidity</t>
  </si>
  <si>
    <t>HaulStatisticalRectangle</t>
  </si>
  <si>
    <t>HaulMinTrawlDepth</t>
  </si>
  <si>
    <t>HaulMaxTrawlDepth</t>
  </si>
  <si>
    <t>HaulBottomDepth</t>
  </si>
  <si>
    <t>HaulDistance</t>
  </si>
  <si>
    <t>HaulNetopening</t>
  </si>
  <si>
    <t>HaulCodendMesh</t>
  </si>
  <si>
    <t>HaulSweepLength</t>
  </si>
  <si>
    <t>HaulGearExceptions</t>
  </si>
  <si>
    <t>HaulDoorType</t>
  </si>
  <si>
    <t>HaulWarpLength</t>
  </si>
  <si>
    <t>HaulWarpDiameter</t>
  </si>
  <si>
    <t>HaulWarpDensity</t>
  </si>
  <si>
    <t>HaulDoorSurface</t>
  </si>
  <si>
    <t>HaulDoorWeight</t>
  </si>
  <si>
    <t>HaulDoorSpread</t>
  </si>
  <si>
    <t>HaulWingSpread</t>
  </si>
  <si>
    <t>HaulBuoyancy</t>
  </si>
  <si>
    <t>HaulKiteArea</t>
  </si>
  <si>
    <t>HaulGroundRopeWeight</t>
  </si>
  <si>
    <t>HaulHydrographicStationID</t>
  </si>
  <si>
    <t>HaulTowDirection</t>
  </si>
  <si>
    <t>HaulSpeedGround</t>
  </si>
  <si>
    <t>HaulSpeedWater</t>
  </si>
  <si>
    <t>HaulWindDirection</t>
  </si>
  <si>
    <t>HaulWindSpeed</t>
  </si>
  <si>
    <t>HaulSwellDirection</t>
  </si>
  <si>
    <t>HaulSwellHeight</t>
  </si>
  <si>
    <t>HaulLogDistance</t>
  </si>
  <si>
    <t>CatchDataType</t>
  </si>
  <si>
    <t>CatchSpeciesValidity</t>
  </si>
  <si>
    <t>CatchWeightUnit</t>
  </si>
  <si>
    <t>CatchSpeciesCategory</t>
  </si>
  <si>
    <t>CatchSpeciesSex</t>
  </si>
  <si>
    <t>CatchSubsampledNumber</t>
  </si>
  <si>
    <t>CatchSubsamplingFactor</t>
  </si>
  <si>
    <t>CatchSubsampleWeight</t>
  </si>
  <si>
    <t>CatchLengthCode</t>
  </si>
  <si>
    <t>CatchLengthClass</t>
  </si>
  <si>
    <t>CatchLengthType</t>
  </si>
  <si>
    <t>CatchNumberAtLength</t>
  </si>
  <si>
    <t>CatchWeightAtLength</t>
  </si>
  <si>
    <t>BiologyStockCode</t>
  </si>
  <si>
    <t>BiologyFishID</t>
  </si>
  <si>
    <t>BiologyLengthCode</t>
  </si>
  <si>
    <t>BiologyWeightUnit</t>
  </si>
  <si>
    <t>BiologyIndividualWeight</t>
  </si>
  <si>
    <t>BiologyIndividualSex</t>
  </si>
  <si>
    <t>BiologyIndividualMaturity</t>
  </si>
  <si>
    <t>BiologyMaturityScale</t>
  </si>
  <si>
    <t>BiologyIndividualAge</t>
  </si>
  <si>
    <t>PEL</t>
  </si>
  <si>
    <t>12</t>
  </si>
  <si>
    <t>42E912</t>
  </si>
  <si>
    <t>42E9</t>
  </si>
  <si>
    <t>30</t>
  </si>
  <si>
    <t>V</t>
  </si>
  <si>
    <t>-0.4754</t>
  </si>
  <si>
    <t>-0.4798</t>
  </si>
  <si>
    <t>56.7768</t>
  </si>
  <si>
    <t>56.8312</t>
  </si>
  <si>
    <t>15</t>
  </si>
  <si>
    <t>75</t>
  </si>
  <si>
    <t>25</t>
  </si>
  <si>
    <t>150</t>
  </si>
  <si>
    <t>3560</t>
  </si>
  <si>
    <t>3.5</t>
  </si>
  <si>
    <t>22</t>
  </si>
  <si>
    <t>B</t>
  </si>
  <si>
    <t>R</t>
  </si>
  <si>
    <t>80</t>
  </si>
  <si>
    <t>20</t>
  </si>
  <si>
    <t>1.4</t>
  </si>
  <si>
    <t>780</t>
  </si>
  <si>
    <t>350</t>
  </si>
  <si>
    <t>4.5</t>
  </si>
  <si>
    <t>450</t>
  </si>
  <si>
    <t>4</t>
  </si>
  <si>
    <t>F</t>
  </si>
  <si>
    <t>204578902</t>
  </si>
  <si>
    <t>184</t>
  </si>
  <si>
    <t>5.5</t>
  </si>
  <si>
    <t>340</t>
  </si>
  <si>
    <t>240</t>
  </si>
  <si>
    <t>0.6</t>
  </si>
  <si>
    <t>Distance linking to the acoustic data records</t>
  </si>
  <si>
    <t>14500</t>
  </si>
  <si>
    <t>126417</t>
  </si>
  <si>
    <t>1</t>
  </si>
  <si>
    <t>7000</t>
  </si>
  <si>
    <t>kg</t>
  </si>
  <si>
    <t>595</t>
  </si>
  <si>
    <t>2</t>
  </si>
  <si>
    <t>mm</t>
  </si>
  <si>
    <t>380</t>
  </si>
  <si>
    <t>5</t>
  </si>
  <si>
    <t>0.5</t>
  </si>
  <si>
    <t>her-47d3</t>
  </si>
  <si>
    <t>gr</t>
  </si>
  <si>
    <t>145</t>
  </si>
  <si>
    <t>65</t>
  </si>
  <si>
    <t>M6</t>
  </si>
  <si>
    <t>7</t>
  </si>
  <si>
    <t>plusgroup</t>
  </si>
  <si>
    <t>Scale</t>
  </si>
  <si>
    <t>no</t>
  </si>
  <si>
    <t>yes</t>
  </si>
  <si>
    <t>NA</t>
  </si>
  <si>
    <t>143</t>
  </si>
  <si>
    <t>CruiseSurvey</t>
  </si>
  <si>
    <t>CruiseCountry</t>
  </si>
  <si>
    <t>CruiseOrganisation</t>
  </si>
  <si>
    <t>CruisePlatform</t>
  </si>
  <si>
    <t>CruiseStartDate</t>
  </si>
  <si>
    <t>CruiseEndDate</t>
  </si>
  <si>
    <t>BiologyAgePlusGroup</t>
  </si>
  <si>
    <t>BiologyAgeSource</t>
  </si>
  <si>
    <t>BiologyGeneticSamplingFlag</t>
  </si>
  <si>
    <t>BiologyStomachSamplingFlag</t>
  </si>
  <si>
    <t>BiologyParasiteSamplingFlag</t>
  </si>
  <si>
    <t>BiologyIndividualVertebraeCount</t>
  </si>
  <si>
    <t>Reference to the CruiseLocalID in the Cruise record</t>
  </si>
  <si>
    <t>Biotic sampler - Gear, see Options</t>
  </si>
  <si>
    <t>Country code based on ISO 3166 2-alpha standard - ISO_3166, see Options</t>
  </si>
  <si>
    <t>Organisation code - EDMO, see Options</t>
  </si>
  <si>
    <t>Platform code - SHIPC, see Options</t>
  </si>
  <si>
    <t>Sequential numbering of hauls during the cruise</t>
  </si>
  <si>
    <t>Haul validity code - AC_HaulValidity, see Options</t>
  </si>
  <si>
    <t xml:space="preserve">ICES statistical rectangle area reference. </t>
  </si>
  <si>
    <t>Length of sweep in metres</t>
  </si>
  <si>
    <t>Gear exceptions - AC_GearExceptions, see Options</t>
  </si>
  <si>
    <t>Door type - AC_DoorType, see Options</t>
  </si>
  <si>
    <t>Reference to the HaulGear in the Haul record</t>
  </si>
  <si>
    <t>Reference to the HaulNumber in the Haul record</t>
  </si>
  <si>
    <t>Length measurement type - AC_LengthMeasurementType, see Options</t>
  </si>
  <si>
    <t>ICES fish stock ID - ICES_StockCode, see Options</t>
  </si>
  <si>
    <t>Unit for reporting weight fields in Biology record - AC_WeightUnit, see Options</t>
  </si>
  <si>
    <t>Gender of the given specimen as defined by dissection - AC_Sex, see Options</t>
  </si>
  <si>
    <t>Maturity scale used for reporting the maturity data - AC_MaturityScale, see Options</t>
  </si>
  <si>
    <t>Age of specimen in years</t>
  </si>
  <si>
    <t>Fish identification number - running sampling number of the individual fish</t>
  </si>
  <si>
    <t>Maturity  of the reported specimen. Requires dissection. - AC_MaturityCode, see Options</t>
  </si>
  <si>
    <t>If the older fish is grouped under the age plus group, flag the age used for grouping - AC_AgePlusGroup, see Options</t>
  </si>
  <si>
    <t>Age reading source material - AC_AgeSource, see Options</t>
  </si>
  <si>
    <t>Was genetic sampling of the species performed? - AC_SamplingFlag, see Options</t>
  </si>
  <si>
    <t>Was stomach sampling of the specimen performed? - AC_SamplingFlag, see Options</t>
  </si>
  <si>
    <t>Was parasite sampling of the specimen performed? - AC_SamplingFlag, see Options</t>
  </si>
  <si>
    <t>Species reference as reported in the Catch record</t>
  </si>
  <si>
    <t>Tabulated example with headers and values*</t>
  </si>
  <si>
    <t>* NOTE:</t>
  </si>
  <si>
    <t>Separate fields by comma, not tab.</t>
  </si>
  <si>
    <t>Separate decimals by point.</t>
  </si>
  <si>
    <t>Do not use commas or semicolons in the text fields</t>
  </si>
  <si>
    <t>mandatory field</t>
  </si>
  <si>
    <t>optional field</t>
  </si>
  <si>
    <t>6</t>
  </si>
  <si>
    <t>3</t>
  </si>
  <si>
    <t>56</t>
  </si>
  <si>
    <t>61</t>
  </si>
  <si>
    <t>SpeciesCategoryWeight</t>
  </si>
  <si>
    <t>SpeciesCategoryNumber</t>
  </si>
  <si>
    <t>Reference to the SpeciesCategory in the Catch record.</t>
  </si>
  <si>
    <t>CatchSpeciesCategoryNumber</t>
  </si>
  <si>
    <t>CatchSpeciesCategoryWeight</t>
  </si>
  <si>
    <t>BiologyLengthClass</t>
  </si>
  <si>
    <t>Official WoRMS AphiaID code of the species reported at the given record - SpecWORMS, see Options. Any valid code from http://www.marinespecies.org/ can be addded to the list - send the respective request to accessions@ices.dk</t>
  </si>
  <si>
    <t>Species validity code for use in assessments (data with code 1only will be used) - AC_SpeciesValidity, see Options</t>
  </si>
  <si>
    <t>optional*</t>
  </si>
  <si>
    <t>Length class. This field must be reported If species length distribution per haul and category is reported</t>
  </si>
  <si>
    <t>Total weight of the category by length class (used in the Baltic Acoustic Survey)</t>
  </si>
  <si>
    <t>Catch species sampling category identifier for sample categories by size, weight, and/or sex in the same haul. Each category can have a distinct subsampling factor. Report sequential numbers 1,2,3…10 per haul and species. If the sample was not split by categories, report 1 in this field.</t>
  </si>
  <si>
    <t>Subsampling factor in the given category. Report 1 if no subsampling is applied. If f.ex. 1/6 of the catch was measured, report 6.</t>
  </si>
  <si>
    <t>recommended*</t>
  </si>
  <si>
    <t>Length code of the reported individual length. If length distribution on the catch level is reported, the code should be the same as in the respective parent Catch record - AC_LengthCode, see Options</t>
  </si>
  <si>
    <t>Length class. If length distribution on the catch level is reported, the value should be the same as in the respective parent Catch record</t>
  </si>
  <si>
    <t>Vertebrae count as a stock identifier, if applicable</t>
  </si>
  <si>
    <t>Bottom depth in metres</t>
  </si>
  <si>
    <t>Number of measured fish in the given haul, species, category. Must be reported if length distibution is reported. If whole catch was measured, the number would be the same as SpeciesCategoryNumber.</t>
  </si>
  <si>
    <t>Length code used for reporting of the Length class.  Must be the same for the same species in the haul. Must be reported if species length distribution per haul and category is reported - AC_LengthCode, see Options</t>
  </si>
  <si>
    <t>Number of fish per length in the given species category in this haul. This field is ot adjusted with the subsampling factor, so the sum of Numbers at Length would be equal to the SubsampledNumber. For data type C should be adjusted with time. Must be reported if length distribution is reported.</t>
  </si>
  <si>
    <t>500</t>
  </si>
  <si>
    <t>M</t>
  </si>
  <si>
    <t>37.5</t>
  </si>
  <si>
    <t>halfcm</t>
  </si>
  <si>
    <t>385</t>
  </si>
  <si>
    <t>365</t>
  </si>
  <si>
    <t>14</t>
  </si>
  <si>
    <t>35.7</t>
  </si>
  <si>
    <t>0.3</t>
  </si>
  <si>
    <t>0.1</t>
  </si>
  <si>
    <t>64</t>
  </si>
  <si>
    <t>Survey - AC_Survey, see Options; multiple references are allowed - report with tilda '~'</t>
  </si>
  <si>
    <t>HERAS~CSHAS</t>
  </si>
  <si>
    <t>IE</t>
  </si>
  <si>
    <t>396</t>
  </si>
  <si>
    <t>45CE</t>
  </si>
  <si>
    <t>45CE201601</t>
  </si>
  <si>
    <t>Code R specifies that catch data are reported as recorded, sub-sampling factor can vary per sampling category - AC_CatchDataType, other codes are currently not allowed, see Options</t>
  </si>
  <si>
    <t>Minimum depth (positive value in metres) of the trawl headline. Report only min.depth for the same trawl depth, if different depths applied, report both min. and max. fields</t>
  </si>
  <si>
    <t>Maximum depth (positive value in metres) of the trawl headline</t>
  </si>
  <si>
    <t>Unit for reporting of weight-related fields in this Catch record - AC_WeightUnit, see Options. This field must be reported if any Weight fields are reported.</t>
  </si>
  <si>
    <t>Weight of the subsampled fish per haul, species, and category. This field must be reported if SpeciesCategoryWeight is reported. If no subsampling was performed, the value would be the same as in the SpeciesCategoryWeight.</t>
  </si>
  <si>
    <t>Sex category identifier. If no sample categorizing by sex was performed, leave the field blank - AC_Sex, see Options</t>
  </si>
  <si>
    <t>Weight of fish for the given species and category in the haul. If no categorizing was performed, total weigh of the species per haul. For data products, it is important that either Category Number of Cateogry Weight is reported. For data type C it should be adjusted with time.</t>
  </si>
  <si>
    <t>"*" at the field status means that the field is mandatory to report at certain conditions. Read the field definition for more information.</t>
  </si>
  <si>
    <t>HaulStratum</t>
  </si>
  <si>
    <t>Stratum</t>
  </si>
  <si>
    <t>SURF</t>
  </si>
  <si>
    <t>AC_Stratum, see Options</t>
  </si>
  <si>
    <t>http://vocab.ices.dk/?ref=1535</t>
  </si>
  <si>
    <t>(mandatory)</t>
  </si>
  <si>
    <t>(recommended)</t>
  </si>
  <si>
    <t>Total number of fish of the given species and category in this haul. If no categorizing was performed, total number of fish of the given species per haul. For data type C should be adjusted with time. For data products, it is important that either Category Number of Cateogry Weight is reported. This field must be reported if length distribution is reported.</t>
  </si>
  <si>
    <t>Codend stretched mesh size in mm</t>
  </si>
  <si>
    <t>IndividualGrowthRings</t>
  </si>
  <si>
    <t>Number of growth rings counted</t>
  </si>
  <si>
    <t>BiologyIndividualGrowthRings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</si>
</sst>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i/>
      <sz val="11"/>
      <color rgb="FF7F7F7F"/>
      <name val="Calibri"/>
      <family val="2"/>
      <scheme val="minor"/>
    </font>
    <font>
      <b/>
      <sz val="12"/>
      <color theme="1"/>
      <name val="Calibri"/>
      <family val="2"/>
      <scheme val="minor"/>
    </font>
    <font>
      <i/>
      <sz val="11"/>
      <color theme="1"/>
      <name val="Calibri"/>
      <family val="2"/>
      <scheme val="minor"/>
    </font>
    <font>
      <u/>
      <sz val="11"/>
      <color theme="10"/>
      <name val="Calibri"/>
      <family val="2"/>
      <scheme val="minor"/>
    </font>
    <font>
      <sz val="11"/>
      <name val="Calibri"/>
      <family val="2"/>
      <scheme val="minor"/>
    </font>
    <font>
      <b/>
      <sz val="11"/>
      <color theme="1"/>
      <name val="Calibri"/>
      <family val="2"/>
      <scheme val="minor"/>
    </font>
    <font>
      <sz val="16"/>
      <color theme="1"/>
      <name val="Calibri"/>
      <family val="2"/>
      <scheme val="minor"/>
    </font>
    <font>
      <sz val="8"/>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2" tint="-0.249977111117893"/>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applyNumberFormat="0" applyFill="0" applyBorder="0" applyAlignment="0" applyProtection="0"/>
    <xf numFmtId="0" fontId="4" fillId="0" borderId="0" applyNumberFormat="0" applyFill="0" applyBorder="0" applyAlignment="0" applyProtection="0"/>
  </cellStyleXfs>
  <cellXfs count="96">
    <xf numFmtId="0" fontId="0" fillId="0" borderId="0" xfId="0"/>
    <xf numFmtId="0" fontId="2" fillId="0" borderId="1" xfId="0" applyFont="1" applyBorder="1"/>
    <xf numFmtId="0" fontId="2" fillId="0" borderId="2" xfId="0" applyFont="1" applyBorder="1"/>
    <xf numFmtId="0" fontId="2" fillId="0" borderId="2" xfId="0" applyFont="1" applyBorder="1" applyAlignment="1">
      <alignment horizontal="center"/>
    </xf>
    <xf numFmtId="0" fontId="3" fillId="3" borderId="5" xfId="0" applyFont="1" applyFill="1" applyBorder="1"/>
    <xf numFmtId="0" fontId="0" fillId="0" borderId="5" xfId="0" applyFont="1" applyBorder="1"/>
    <xf numFmtId="0" fontId="0" fillId="2" borderId="5" xfId="0" applyFont="1" applyFill="1" applyBorder="1" applyAlignment="1">
      <alignment horizontal="center"/>
    </xf>
    <xf numFmtId="0" fontId="0" fillId="0" borderId="5" xfId="0" applyBorder="1" applyAlignment="1">
      <alignment horizontal="center"/>
    </xf>
    <xf numFmtId="0" fontId="0" fillId="0" borderId="5" xfId="0" applyFont="1" applyFill="1" applyBorder="1"/>
    <xf numFmtId="0" fontId="3" fillId="3" borderId="0" xfId="0" applyFont="1" applyFill="1" applyBorder="1"/>
    <xf numFmtId="0" fontId="0" fillId="0" borderId="0" xfId="0" applyFont="1" applyBorder="1"/>
    <xf numFmtId="0" fontId="0" fillId="2" borderId="0" xfId="0" applyFont="1" applyFill="1" applyBorder="1" applyAlignment="1">
      <alignment horizontal="center"/>
    </xf>
    <xf numFmtId="0" fontId="0" fillId="0" borderId="0" xfId="0" applyBorder="1" applyAlignment="1">
      <alignment horizontal="center"/>
    </xf>
    <xf numFmtId="0" fontId="0" fillId="0" borderId="0" xfId="0" applyFont="1" applyFill="1" applyBorder="1"/>
    <xf numFmtId="0" fontId="0" fillId="0" borderId="7" xfId="0" applyBorder="1"/>
    <xf numFmtId="0" fontId="0" fillId="0" borderId="0" xfId="0" applyBorder="1"/>
    <xf numFmtId="0" fontId="0" fillId="2" borderId="0" xfId="0" applyFill="1" applyBorder="1" applyAlignment="1">
      <alignment horizontal="center"/>
    </xf>
    <xf numFmtId="0" fontId="4" fillId="0" borderId="0" xfId="2" applyBorder="1"/>
    <xf numFmtId="0" fontId="0" fillId="4" borderId="0" xfId="0" applyFill="1" applyBorder="1" applyAlignment="1">
      <alignment horizontal="center"/>
    </xf>
    <xf numFmtId="0" fontId="0" fillId="0" borderId="0" xfId="0" applyFill="1" applyBorder="1"/>
    <xf numFmtId="0" fontId="0" fillId="0" borderId="0" xfId="0" applyFill="1" applyBorder="1" applyAlignment="1">
      <alignment horizontal="left" vertical="center" wrapText="1"/>
    </xf>
    <xf numFmtId="0" fontId="5" fillId="0" borderId="0" xfId="1" applyFont="1" applyFill="1" applyBorder="1" applyAlignment="1">
      <alignment horizontal="left" vertical="center" wrapText="1"/>
    </xf>
    <xf numFmtId="0" fontId="0" fillId="0" borderId="9" xfId="0" applyBorder="1"/>
    <xf numFmtId="0" fontId="0" fillId="0" borderId="10" xfId="0" applyBorder="1"/>
    <xf numFmtId="0" fontId="0" fillId="0" borderId="10" xfId="0" applyBorder="1" applyAlignment="1">
      <alignment horizontal="center"/>
    </xf>
    <xf numFmtId="0" fontId="0" fillId="0" borderId="5" xfId="0" applyBorder="1"/>
    <xf numFmtId="0" fontId="0" fillId="0" borderId="7" xfId="0" applyFill="1" applyBorder="1"/>
    <xf numFmtId="0" fontId="5" fillId="0" borderId="0" xfId="1" applyFont="1" applyFill="1" applyBorder="1" applyAlignment="1">
      <alignment vertical="center" wrapText="1"/>
    </xf>
    <xf numFmtId="0" fontId="0" fillId="0" borderId="0" xfId="0" applyFill="1" applyBorder="1" applyAlignment="1">
      <alignment wrapText="1"/>
    </xf>
    <xf numFmtId="0" fontId="0" fillId="0" borderId="0" xfId="0" applyFill="1" applyBorder="1" applyAlignment="1">
      <alignment vertical="center" wrapText="1"/>
    </xf>
    <xf numFmtId="0" fontId="0" fillId="0" borderId="0" xfId="0" applyBorder="1" applyAlignment="1">
      <alignment horizontal="left" vertical="center" wrapText="1"/>
    </xf>
    <xf numFmtId="0" fontId="0" fillId="0" borderId="0" xfId="0" applyBorder="1" applyAlignment="1">
      <alignment vertical="center" wrapText="1"/>
    </xf>
    <xf numFmtId="0" fontId="5" fillId="0" borderId="0" xfId="1" applyFont="1" applyBorder="1" applyAlignment="1">
      <alignment horizontal="left" vertical="center" wrapText="1"/>
    </xf>
    <xf numFmtId="0" fontId="5" fillId="0" borderId="0" xfId="1" applyFont="1" applyBorder="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5" fillId="5" borderId="0" xfId="0" applyFont="1" applyFill="1" applyBorder="1" applyAlignment="1">
      <alignment horizontal="left" vertical="center" wrapText="1"/>
    </xf>
    <xf numFmtId="0" fontId="5" fillId="5" borderId="0" xfId="0" applyFont="1" applyFill="1" applyBorder="1" applyAlignment="1">
      <alignment vertical="center" wrapText="1"/>
    </xf>
    <xf numFmtId="0" fontId="5" fillId="0" borderId="0" xfId="0" applyFont="1" applyFill="1" applyBorder="1" applyAlignment="1">
      <alignment horizontal="left" vertical="center" wrapText="1"/>
    </xf>
    <xf numFmtId="0" fontId="5" fillId="0" borderId="0" xfId="0" applyFont="1" applyFill="1" applyBorder="1" applyAlignment="1">
      <alignment vertical="center" wrapText="1"/>
    </xf>
    <xf numFmtId="0" fontId="5" fillId="0" borderId="0" xfId="0" applyFont="1" applyFill="1" applyBorder="1" applyAlignment="1">
      <alignment horizontal="left"/>
    </xf>
    <xf numFmtId="0" fontId="5" fillId="0" borderId="0" xfId="0" applyFont="1" applyFill="1" applyBorder="1" applyAlignment="1"/>
    <xf numFmtId="0" fontId="5" fillId="0" borderId="0" xfId="0" applyFont="1" applyFill="1" applyBorder="1" applyAlignment="1">
      <alignment wrapText="1"/>
    </xf>
    <xf numFmtId="0" fontId="5" fillId="0" borderId="10" xfId="0" applyFont="1" applyFill="1" applyBorder="1" applyAlignment="1">
      <alignment horizontal="left" vertical="center" wrapText="1"/>
    </xf>
    <xf numFmtId="0" fontId="0" fillId="0" borderId="10" xfId="0" applyFill="1" applyBorder="1" applyAlignment="1">
      <alignment horizontal="left" vertical="center" wrapText="1"/>
    </xf>
    <xf numFmtId="0" fontId="0" fillId="0" borderId="0" xfId="0" applyFill="1"/>
    <xf numFmtId="0" fontId="3" fillId="3" borderId="5" xfId="0" applyFont="1" applyFill="1" applyBorder="1" applyAlignment="1">
      <alignment vertical="center"/>
    </xf>
    <xf numFmtId="0" fontId="0" fillId="0" borderId="5" xfId="0" applyBorder="1" applyAlignment="1">
      <alignment vertical="center"/>
    </xf>
    <xf numFmtId="0" fontId="0" fillId="2" borderId="5" xfId="0" applyFont="1" applyFill="1" applyBorder="1" applyAlignment="1">
      <alignment horizontal="center" vertical="center"/>
    </xf>
    <xf numFmtId="0" fontId="0" fillId="0" borderId="5" xfId="0" applyBorder="1" applyAlignment="1">
      <alignment horizontal="center" vertical="center"/>
    </xf>
    <xf numFmtId="0" fontId="3" fillId="3" borderId="0" xfId="0" applyFont="1" applyFill="1" applyBorder="1" applyAlignment="1">
      <alignment vertical="center"/>
    </xf>
    <xf numFmtId="0" fontId="0" fillId="0" borderId="0" xfId="0" applyBorder="1" applyAlignment="1">
      <alignment vertical="center"/>
    </xf>
    <xf numFmtId="0" fontId="0"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center" vertical="center"/>
    </xf>
    <xf numFmtId="0" fontId="0" fillId="4" borderId="0" xfId="0" applyFill="1" applyBorder="1" applyAlignment="1">
      <alignment horizontal="center" vertical="center"/>
    </xf>
    <xf numFmtId="0" fontId="0" fillId="0" borderId="10" xfId="0" applyBorder="1" applyAlignment="1">
      <alignment vertical="center"/>
    </xf>
    <xf numFmtId="0" fontId="0" fillId="4" borderId="10" xfId="0" applyFill="1" applyBorder="1" applyAlignment="1">
      <alignment horizontal="center" vertical="center"/>
    </xf>
    <xf numFmtId="0" fontId="5" fillId="0" borderId="0" xfId="0" applyFont="1" applyFill="1" applyBorder="1" applyAlignment="1">
      <alignment horizontal="left" vertical="center"/>
    </xf>
    <xf numFmtId="0" fontId="0" fillId="0" borderId="10" xfId="0" applyBorder="1" applyAlignment="1">
      <alignment horizontal="center" vertical="center"/>
    </xf>
    <xf numFmtId="0" fontId="4" fillId="0" borderId="0" xfId="2" applyFill="1" applyBorder="1" applyAlignment="1">
      <alignment vertical="center" wrapText="1"/>
    </xf>
    <xf numFmtId="0" fontId="4" fillId="5" borderId="0" xfId="2" applyFill="1" applyBorder="1" applyAlignment="1">
      <alignment vertical="center" wrapText="1"/>
    </xf>
    <xf numFmtId="49" fontId="2" fillId="0" borderId="3" xfId="0" applyNumberFormat="1" applyFont="1" applyBorder="1" applyAlignment="1">
      <alignment horizontal="left"/>
    </xf>
    <xf numFmtId="49" fontId="0" fillId="0" borderId="6" xfId="0" applyNumberFormat="1" applyFont="1" applyBorder="1" applyAlignment="1">
      <alignment horizontal="left"/>
    </xf>
    <xf numFmtId="49" fontId="0" fillId="0" borderId="8" xfId="0" applyNumberFormat="1" applyFont="1" applyBorder="1" applyAlignment="1">
      <alignment horizontal="left"/>
    </xf>
    <xf numFmtId="49" fontId="0" fillId="0" borderId="8" xfId="0" applyNumberFormat="1" applyBorder="1" applyAlignment="1">
      <alignment horizontal="left"/>
    </xf>
    <xf numFmtId="49" fontId="0" fillId="0" borderId="8" xfId="0" quotePrefix="1" applyNumberFormat="1" applyBorder="1" applyAlignment="1">
      <alignment horizontal="left"/>
    </xf>
    <xf numFmtId="49" fontId="0" fillId="0" borderId="11" xfId="0" applyNumberFormat="1" applyBorder="1" applyAlignment="1">
      <alignment horizontal="left"/>
    </xf>
    <xf numFmtId="49" fontId="0" fillId="0" borderId="6" xfId="0" applyNumberFormat="1" applyBorder="1"/>
    <xf numFmtId="49" fontId="0" fillId="0" borderId="8" xfId="0" applyNumberFormat="1" applyBorder="1"/>
    <xf numFmtId="49" fontId="0" fillId="0" borderId="11" xfId="0" applyNumberFormat="1" applyBorder="1"/>
    <xf numFmtId="49" fontId="0" fillId="0" borderId="0" xfId="0" applyNumberFormat="1"/>
    <xf numFmtId="49" fontId="0" fillId="0" borderId="8" xfId="0" applyNumberFormat="1" applyFill="1" applyBorder="1"/>
    <xf numFmtId="49" fontId="0" fillId="0" borderId="0" xfId="0" applyNumberFormat="1" applyBorder="1"/>
    <xf numFmtId="49" fontId="0" fillId="0" borderId="0" xfId="0" applyNumberFormat="1" applyFont="1" applyBorder="1" applyAlignment="1">
      <alignment horizontal="left"/>
    </xf>
    <xf numFmtId="49" fontId="0" fillId="0" borderId="0" xfId="0" applyNumberFormat="1" applyBorder="1" applyAlignment="1">
      <alignment horizontal="left"/>
    </xf>
    <xf numFmtId="49" fontId="0" fillId="0" borderId="0" xfId="0" quotePrefix="1" applyNumberFormat="1" applyBorder="1" applyAlignment="1">
      <alignment horizontal="left"/>
    </xf>
    <xf numFmtId="49" fontId="0" fillId="0" borderId="0" xfId="0" applyNumberFormat="1" applyFill="1" applyBorder="1"/>
    <xf numFmtId="0" fontId="7" fillId="0" borderId="0" xfId="0" applyFont="1"/>
    <xf numFmtId="0" fontId="6" fillId="0" borderId="0" xfId="0" applyFont="1"/>
    <xf numFmtId="0" fontId="0" fillId="2" borderId="0" xfId="0" applyFill="1"/>
    <xf numFmtId="0" fontId="0" fillId="4" borderId="0" xfId="0" applyFill="1"/>
    <xf numFmtId="0" fontId="0" fillId="2" borderId="0" xfId="0" applyFill="1" applyBorder="1"/>
    <xf numFmtId="0" fontId="0" fillId="4" borderId="0" xfId="0" applyFill="1" applyBorder="1"/>
    <xf numFmtId="0" fontId="0" fillId="0" borderId="8" xfId="0" applyBorder="1"/>
    <xf numFmtId="0" fontId="0" fillId="0" borderId="0" xfId="0" applyAlignment="1">
      <alignment horizontal="left"/>
    </xf>
    <xf numFmtId="0" fontId="4" fillId="0" borderId="10" xfId="2" applyBorder="1"/>
    <xf numFmtId="0" fontId="8" fillId="2" borderId="7" xfId="0" applyFont="1" applyFill="1" applyBorder="1"/>
    <xf numFmtId="0" fontId="0" fillId="4" borderId="4" xfId="0" applyFill="1" applyBorder="1"/>
    <xf numFmtId="0" fontId="0" fillId="2" borderId="4" xfId="0" applyFill="1" applyBorder="1"/>
    <xf numFmtId="0" fontId="0" fillId="2" borderId="7" xfId="0" applyFill="1" applyBorder="1"/>
    <xf numFmtId="0" fontId="8" fillId="4" borderId="7" xfId="0" applyFont="1" applyFill="1" applyBorder="1"/>
    <xf numFmtId="0" fontId="5" fillId="6" borderId="0" xfId="1" applyFont="1" applyFill="1" applyBorder="1" applyAlignment="1">
      <alignment horizontal="left" vertical="center" wrapText="1"/>
    </xf>
    <xf numFmtId="0" fontId="5" fillId="6" borderId="0" xfId="0" applyFont="1" applyFill="1" applyBorder="1" applyAlignment="1">
      <alignment horizontal="left" vertical="center" wrapText="1"/>
    </xf>
    <xf numFmtId="0" fontId="5" fillId="6" borderId="10" xfId="0" applyFont="1" applyFill="1" applyBorder="1" applyAlignment="1">
      <alignment horizontal="left" vertical="center" wrapText="1"/>
    </xf>
  </cellXfs>
  <cellStyles count="3">
    <cellStyle name="Explanatory Text" xfId="1" builtinId="53"/>
    <cellStyle name="Hyperlink" xfId="2"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vocab.ices.dk/?ref=1482" TargetMode="External"/><Relationship Id="rId13" Type="http://schemas.openxmlformats.org/officeDocument/2006/relationships/hyperlink" Target="http://vocab.ices.dk/?ref=365" TargetMode="External"/><Relationship Id="rId18" Type="http://schemas.openxmlformats.org/officeDocument/2006/relationships/hyperlink" Target="http://vocab.ices.dk/?ref=1479" TargetMode="External"/><Relationship Id="rId26" Type="http://schemas.openxmlformats.org/officeDocument/2006/relationships/hyperlink" Target="http://vocab.ices.dk/?ref=1488" TargetMode="External"/><Relationship Id="rId3" Type="http://schemas.openxmlformats.org/officeDocument/2006/relationships/hyperlink" Target="http://vocab.ices.dk/?ref=1398" TargetMode="External"/><Relationship Id="rId21" Type="http://schemas.openxmlformats.org/officeDocument/2006/relationships/hyperlink" Target="http://vocab.ices.dk/?ref=1477" TargetMode="External"/><Relationship Id="rId7" Type="http://schemas.openxmlformats.org/officeDocument/2006/relationships/hyperlink" Target="http://vocab.ices.dk/?ref=1483" TargetMode="External"/><Relationship Id="rId12" Type="http://schemas.openxmlformats.org/officeDocument/2006/relationships/hyperlink" Target="http://vocab.ices.dk/?ref=1478" TargetMode="External"/><Relationship Id="rId17" Type="http://schemas.openxmlformats.org/officeDocument/2006/relationships/hyperlink" Target="http://vocab.ices.dk/?ref=2" TargetMode="External"/><Relationship Id="rId25" Type="http://schemas.openxmlformats.org/officeDocument/2006/relationships/hyperlink" Target="http://vocab.ices.dk/?ref=1486" TargetMode="External"/><Relationship Id="rId2" Type="http://schemas.openxmlformats.org/officeDocument/2006/relationships/hyperlink" Target="http://vocab.ices.dk/?ref=337" TargetMode="External"/><Relationship Id="rId16" Type="http://schemas.openxmlformats.org/officeDocument/2006/relationships/hyperlink" Target="http://vocab.ices.dk/?ref=2" TargetMode="External"/><Relationship Id="rId20" Type="http://schemas.openxmlformats.org/officeDocument/2006/relationships/hyperlink" Target="http://vocab.ices.dk/?ref=1475" TargetMode="External"/><Relationship Id="rId29" Type="http://schemas.openxmlformats.org/officeDocument/2006/relationships/hyperlink" Target="http://vocab.ices.dk/?ref=1535" TargetMode="External"/><Relationship Id="rId1" Type="http://schemas.openxmlformats.org/officeDocument/2006/relationships/hyperlink" Target="http://vocab.ices.dk/?ref=1453" TargetMode="External"/><Relationship Id="rId6" Type="http://schemas.openxmlformats.org/officeDocument/2006/relationships/hyperlink" Target="http://vocab.ices.dk/?ref=1483" TargetMode="External"/><Relationship Id="rId11" Type="http://schemas.openxmlformats.org/officeDocument/2006/relationships/hyperlink" Target="http://vocab.ices.dk/?ref=1480" TargetMode="External"/><Relationship Id="rId24" Type="http://schemas.openxmlformats.org/officeDocument/2006/relationships/hyperlink" Target="http://vocab.ices.dk/?ref=1486" TargetMode="External"/><Relationship Id="rId5" Type="http://schemas.openxmlformats.org/officeDocument/2006/relationships/hyperlink" Target="http://vocab.ices.dk/?ref=1483" TargetMode="External"/><Relationship Id="rId15" Type="http://schemas.openxmlformats.org/officeDocument/2006/relationships/hyperlink" Target="http://vocab.ices.dk/?ref=2" TargetMode="External"/><Relationship Id="rId23" Type="http://schemas.openxmlformats.org/officeDocument/2006/relationships/hyperlink" Target="http://vocab.ices.dk/?ref=1474" TargetMode="External"/><Relationship Id="rId28" Type="http://schemas.openxmlformats.org/officeDocument/2006/relationships/hyperlink" Target="http://vocab.ices.dk/?ref=357" TargetMode="External"/><Relationship Id="rId10" Type="http://schemas.openxmlformats.org/officeDocument/2006/relationships/hyperlink" Target="http://vocab.ices.dk/?ref=1481" TargetMode="External"/><Relationship Id="rId19" Type="http://schemas.openxmlformats.org/officeDocument/2006/relationships/hyperlink" Target="http://vocab.ices.dk/?ref=1485" TargetMode="External"/><Relationship Id="rId31" Type="http://schemas.openxmlformats.org/officeDocument/2006/relationships/printerSettings" Target="../printerSettings/printerSettings1.bin"/><Relationship Id="rId4" Type="http://schemas.openxmlformats.org/officeDocument/2006/relationships/hyperlink" Target="http://vocab.ices.dk/?ref=315" TargetMode="External"/><Relationship Id="rId9" Type="http://schemas.openxmlformats.org/officeDocument/2006/relationships/hyperlink" Target="http://vocab.ices.dk/?ref=1484" TargetMode="External"/><Relationship Id="rId14" Type="http://schemas.openxmlformats.org/officeDocument/2006/relationships/hyperlink" Target="http://vocab.ices.dk/?ref=365" TargetMode="External"/><Relationship Id="rId22" Type="http://schemas.openxmlformats.org/officeDocument/2006/relationships/hyperlink" Target="http://vocab.ices.dk/?ref=1476" TargetMode="External"/><Relationship Id="rId27" Type="http://schemas.openxmlformats.org/officeDocument/2006/relationships/hyperlink" Target="http://vocab.ices.dk/?ref=1478" TargetMode="External"/><Relationship Id="rId30" Type="http://schemas.openxmlformats.org/officeDocument/2006/relationships/hyperlink" Target="http://vocab.ices.dk/?ref=14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
  <sheetViews>
    <sheetView tabSelected="1" zoomScaleNormal="100" workbookViewId="0"/>
  </sheetViews>
  <sheetFormatPr defaultRowHeight="15" x14ac:dyDescent="0.25"/>
  <cols>
    <col min="1" max="1" width="18.42578125" bestFit="1" customWidth="1"/>
    <col min="2" max="2" width="26.5703125" customWidth="1"/>
    <col min="3" max="3" width="35" customWidth="1"/>
    <col min="4" max="4" width="14.140625" bestFit="1" customWidth="1"/>
    <col min="5" max="5" width="10" bestFit="1" customWidth="1"/>
    <col min="6" max="6" width="93.28515625" customWidth="1"/>
    <col min="7" max="7" width="40.140625" bestFit="1" customWidth="1"/>
    <col min="8" max="8" width="22.7109375" style="72" customWidth="1"/>
  </cols>
  <sheetData>
    <row r="1" spans="1:8" ht="16.5" thickBot="1" x14ac:dyDescent="0.3">
      <c r="A1" s="1" t="s">
        <v>0</v>
      </c>
      <c r="B1" s="2" t="s">
        <v>1</v>
      </c>
      <c r="C1" s="2" t="s">
        <v>2</v>
      </c>
      <c r="D1" s="3" t="s">
        <v>3</v>
      </c>
      <c r="E1" s="3" t="s">
        <v>4</v>
      </c>
      <c r="F1" s="2" t="s">
        <v>5</v>
      </c>
      <c r="G1" s="2" t="s">
        <v>6</v>
      </c>
      <c r="H1" s="63" t="s">
        <v>7</v>
      </c>
    </row>
    <row r="2" spans="1:8" x14ac:dyDescent="0.25">
      <c r="A2" s="90" t="s">
        <v>8</v>
      </c>
      <c r="B2" s="4" t="s">
        <v>9</v>
      </c>
      <c r="C2" s="5" t="s">
        <v>8</v>
      </c>
      <c r="D2" s="6" t="s">
        <v>10</v>
      </c>
      <c r="E2" s="7" t="s">
        <v>11</v>
      </c>
      <c r="F2" s="8" t="s">
        <v>12</v>
      </c>
      <c r="G2" s="8" t="s">
        <v>8</v>
      </c>
      <c r="H2" s="64" t="s">
        <v>8</v>
      </c>
    </row>
    <row r="3" spans="1:8" x14ac:dyDescent="0.25">
      <c r="A3" s="88" t="s">
        <v>385</v>
      </c>
      <c r="B3" s="9" t="s">
        <v>9</v>
      </c>
      <c r="C3" s="10" t="s">
        <v>13</v>
      </c>
      <c r="D3" s="11" t="s">
        <v>10</v>
      </c>
      <c r="E3" s="12" t="s">
        <v>11</v>
      </c>
      <c r="F3" s="13" t="s">
        <v>14</v>
      </c>
      <c r="G3" s="13" t="s">
        <v>15</v>
      </c>
      <c r="H3" s="65" t="s">
        <v>16</v>
      </c>
    </row>
    <row r="4" spans="1:8" x14ac:dyDescent="0.25">
      <c r="A4" s="14"/>
      <c r="B4" s="15" t="s">
        <v>120</v>
      </c>
      <c r="C4" s="15" t="str">
        <f>CONCATENATE($A$2,B4)</f>
        <v>CruiseSurvey</v>
      </c>
      <c r="D4" s="16" t="s">
        <v>10</v>
      </c>
      <c r="E4" s="12" t="s">
        <v>11</v>
      </c>
      <c r="F4" s="15" t="s">
        <v>366</v>
      </c>
      <c r="G4" s="17" t="s">
        <v>17</v>
      </c>
      <c r="H4" s="66" t="s">
        <v>367</v>
      </c>
    </row>
    <row r="5" spans="1:8" x14ac:dyDescent="0.25">
      <c r="A5" s="14"/>
      <c r="B5" s="15" t="s">
        <v>121</v>
      </c>
      <c r="C5" s="15" t="str">
        <f t="shared" ref="C5:C10" si="0">CONCATENATE($A$2,B5)</f>
        <v>CruiseCountry</v>
      </c>
      <c r="D5" s="16" t="s">
        <v>10</v>
      </c>
      <c r="E5" s="12" t="s">
        <v>11</v>
      </c>
      <c r="F5" s="15" t="s">
        <v>298</v>
      </c>
      <c r="G5" s="17" t="s">
        <v>18</v>
      </c>
      <c r="H5" s="66" t="s">
        <v>19</v>
      </c>
    </row>
    <row r="6" spans="1:8" x14ac:dyDescent="0.25">
      <c r="A6" s="14"/>
      <c r="B6" s="15" t="s">
        <v>122</v>
      </c>
      <c r="C6" s="15" t="str">
        <f t="shared" si="0"/>
        <v>CruiseOrganisation</v>
      </c>
      <c r="D6" s="18" t="s">
        <v>20</v>
      </c>
      <c r="E6" s="12" t="s">
        <v>21</v>
      </c>
      <c r="F6" s="15" t="s">
        <v>299</v>
      </c>
      <c r="G6" s="17" t="s">
        <v>22</v>
      </c>
      <c r="H6" s="66">
        <v>703</v>
      </c>
    </row>
    <row r="7" spans="1:8" x14ac:dyDescent="0.25">
      <c r="A7" s="14"/>
      <c r="B7" s="15" t="s">
        <v>123</v>
      </c>
      <c r="C7" s="15" t="str">
        <f t="shared" si="0"/>
        <v>CruisePlatform</v>
      </c>
      <c r="D7" s="16" t="s">
        <v>10</v>
      </c>
      <c r="E7" s="12" t="s">
        <v>11</v>
      </c>
      <c r="F7" s="15" t="s">
        <v>300</v>
      </c>
      <c r="G7" s="17" t="s">
        <v>23</v>
      </c>
      <c r="H7" s="66" t="s">
        <v>171</v>
      </c>
    </row>
    <row r="8" spans="1:8" x14ac:dyDescent="0.25">
      <c r="A8" s="14"/>
      <c r="B8" s="15" t="s">
        <v>24</v>
      </c>
      <c r="C8" s="15" t="str">
        <f t="shared" si="0"/>
        <v>CruiseStartDate</v>
      </c>
      <c r="D8" s="16" t="s">
        <v>10</v>
      </c>
      <c r="E8" s="12" t="s">
        <v>25</v>
      </c>
      <c r="F8" s="15" t="s">
        <v>26</v>
      </c>
      <c r="G8" s="15"/>
      <c r="H8" s="67" t="s">
        <v>27</v>
      </c>
    </row>
    <row r="9" spans="1:8" x14ac:dyDescent="0.25">
      <c r="A9" s="14"/>
      <c r="B9" s="15" t="s">
        <v>28</v>
      </c>
      <c r="C9" s="15" t="str">
        <f t="shared" si="0"/>
        <v>CruiseEndDate</v>
      </c>
      <c r="D9" s="16" t="s">
        <v>10</v>
      </c>
      <c r="E9" s="12" t="s">
        <v>25</v>
      </c>
      <c r="F9" s="15" t="s">
        <v>29</v>
      </c>
      <c r="G9" s="19" t="s">
        <v>30</v>
      </c>
      <c r="H9" s="67" t="s">
        <v>31</v>
      </c>
    </row>
    <row r="10" spans="1:8" ht="15.75" thickBot="1" x14ac:dyDescent="0.3">
      <c r="A10" s="22"/>
      <c r="B10" s="23" t="s">
        <v>32</v>
      </c>
      <c r="C10" s="23" t="str">
        <f t="shared" si="0"/>
        <v>CruiseLocalID</v>
      </c>
      <c r="D10" s="16" t="s">
        <v>10</v>
      </c>
      <c r="E10" s="24" t="s">
        <v>11</v>
      </c>
      <c r="F10" s="23" t="s">
        <v>33</v>
      </c>
      <c r="G10" s="23"/>
      <c r="H10" s="68" t="s">
        <v>172</v>
      </c>
    </row>
    <row r="11" spans="1:8" x14ac:dyDescent="0.25">
      <c r="A11" s="90" t="s">
        <v>79</v>
      </c>
      <c r="B11" s="4" t="s">
        <v>9</v>
      </c>
      <c r="C11" s="25" t="s">
        <v>79</v>
      </c>
      <c r="D11" s="6" t="s">
        <v>10</v>
      </c>
      <c r="E11" s="7" t="s">
        <v>11</v>
      </c>
      <c r="F11" s="8" t="s">
        <v>12</v>
      </c>
      <c r="G11" s="25" t="s">
        <v>79</v>
      </c>
      <c r="H11" s="69" t="s">
        <v>79</v>
      </c>
    </row>
    <row r="12" spans="1:8" x14ac:dyDescent="0.25">
      <c r="A12" s="88" t="s">
        <v>385</v>
      </c>
      <c r="B12" s="9" t="s">
        <v>9</v>
      </c>
      <c r="C12" s="15" t="s">
        <v>13</v>
      </c>
      <c r="D12" s="11" t="s">
        <v>10</v>
      </c>
      <c r="E12" s="12" t="s">
        <v>11</v>
      </c>
      <c r="F12" s="13" t="s">
        <v>14</v>
      </c>
      <c r="G12" s="19" t="s">
        <v>15</v>
      </c>
      <c r="H12" s="70" t="s">
        <v>173</v>
      </c>
    </row>
    <row r="13" spans="1:8" x14ac:dyDescent="0.25">
      <c r="A13" s="14"/>
      <c r="B13" s="9" t="s">
        <v>9</v>
      </c>
      <c r="C13" s="15" t="s">
        <v>118</v>
      </c>
      <c r="D13" s="11" t="s">
        <v>10</v>
      </c>
      <c r="E13" s="12" t="s">
        <v>11</v>
      </c>
      <c r="F13" s="13" t="s">
        <v>296</v>
      </c>
      <c r="G13" s="15"/>
      <c r="H13" s="66" t="s">
        <v>172</v>
      </c>
    </row>
    <row r="14" spans="1:8" x14ac:dyDescent="0.25">
      <c r="A14" s="14"/>
      <c r="B14" s="20" t="s">
        <v>124</v>
      </c>
      <c r="C14" s="19" t="s">
        <v>125</v>
      </c>
      <c r="D14" s="11" t="s">
        <v>10</v>
      </c>
      <c r="E14" s="12" t="s">
        <v>11</v>
      </c>
      <c r="F14" s="28" t="s">
        <v>297</v>
      </c>
      <c r="G14" s="61" t="s">
        <v>162</v>
      </c>
      <c r="H14" s="70" t="s">
        <v>226</v>
      </c>
    </row>
    <row r="15" spans="1:8" x14ac:dyDescent="0.25">
      <c r="A15" s="14"/>
      <c r="B15" s="20" t="s">
        <v>144</v>
      </c>
      <c r="C15" s="19" t="s">
        <v>145</v>
      </c>
      <c r="D15" s="11" t="s">
        <v>10</v>
      </c>
      <c r="E15" s="12" t="s">
        <v>21</v>
      </c>
      <c r="F15" s="20" t="s">
        <v>301</v>
      </c>
      <c r="G15" s="29"/>
      <c r="H15" s="70">
        <v>12</v>
      </c>
    </row>
    <row r="16" spans="1:8" x14ac:dyDescent="0.25">
      <c r="A16" s="14"/>
      <c r="B16" s="20" t="s">
        <v>82</v>
      </c>
      <c r="C16" s="19" t="s">
        <v>88</v>
      </c>
      <c r="D16" s="11" t="s">
        <v>10</v>
      </c>
      <c r="E16" s="12" t="s">
        <v>11</v>
      </c>
      <c r="F16" s="20" t="s">
        <v>76</v>
      </c>
      <c r="G16" s="29"/>
      <c r="H16" s="70" t="s">
        <v>228</v>
      </c>
    </row>
    <row r="17" spans="1:8" x14ac:dyDescent="0.25">
      <c r="A17" s="14"/>
      <c r="B17" s="20" t="s">
        <v>85</v>
      </c>
      <c r="C17" s="20" t="s">
        <v>89</v>
      </c>
      <c r="D17" s="16" t="s">
        <v>10</v>
      </c>
      <c r="E17" s="12" t="s">
        <v>83</v>
      </c>
      <c r="F17" s="19" t="s">
        <v>86</v>
      </c>
      <c r="G17" s="15"/>
      <c r="H17" s="67" t="s">
        <v>84</v>
      </c>
    </row>
    <row r="18" spans="1:8" ht="30" x14ac:dyDescent="0.25">
      <c r="A18" s="14"/>
      <c r="B18" s="20" t="s">
        <v>87</v>
      </c>
      <c r="C18" s="19" t="s">
        <v>90</v>
      </c>
      <c r="D18" s="11" t="s">
        <v>10</v>
      </c>
      <c r="E18" s="12" t="s">
        <v>21</v>
      </c>
      <c r="F18" s="20" t="s">
        <v>77</v>
      </c>
      <c r="G18" s="29"/>
      <c r="H18" s="70" t="s">
        <v>230</v>
      </c>
    </row>
    <row r="19" spans="1:8" x14ac:dyDescent="0.25">
      <c r="A19" s="14"/>
      <c r="B19" s="20" t="s">
        <v>101</v>
      </c>
      <c r="C19" s="15" t="str">
        <f>CONCATENATE($A$11,B19)</f>
        <v>HaulValidity</v>
      </c>
      <c r="D19" s="11" t="s">
        <v>10</v>
      </c>
      <c r="E19" s="12" t="s">
        <v>11</v>
      </c>
      <c r="F19" s="20" t="s">
        <v>302</v>
      </c>
      <c r="G19" s="61" t="s">
        <v>168</v>
      </c>
      <c r="H19" s="70" t="s">
        <v>231</v>
      </c>
    </row>
    <row r="20" spans="1:8" x14ac:dyDescent="0.25">
      <c r="A20" s="14"/>
      <c r="B20" s="19" t="s">
        <v>91</v>
      </c>
      <c r="C20" s="19" t="s">
        <v>97</v>
      </c>
      <c r="D20" s="11" t="s">
        <v>10</v>
      </c>
      <c r="E20" s="12" t="s">
        <v>78</v>
      </c>
      <c r="F20" s="20" t="s">
        <v>49</v>
      </c>
      <c r="G20" s="29"/>
      <c r="H20" s="70" t="s">
        <v>232</v>
      </c>
    </row>
    <row r="21" spans="1:8" x14ac:dyDescent="0.25">
      <c r="A21" s="14"/>
      <c r="B21" s="19" t="s">
        <v>92</v>
      </c>
      <c r="C21" s="19" t="s">
        <v>98</v>
      </c>
      <c r="D21" s="11" t="s">
        <v>10</v>
      </c>
      <c r="E21" s="12" t="s">
        <v>78</v>
      </c>
      <c r="F21" s="20" t="s">
        <v>50</v>
      </c>
      <c r="G21" s="29"/>
      <c r="H21" s="70" t="s">
        <v>234</v>
      </c>
    </row>
    <row r="22" spans="1:8" x14ac:dyDescent="0.25">
      <c r="A22" s="14"/>
      <c r="B22" s="21" t="s">
        <v>96</v>
      </c>
      <c r="C22" s="19" t="s">
        <v>93</v>
      </c>
      <c r="D22" s="18" t="s">
        <v>20</v>
      </c>
      <c r="E22" s="12" t="s">
        <v>78</v>
      </c>
      <c r="F22" s="21" t="s">
        <v>51</v>
      </c>
      <c r="G22" s="27"/>
      <c r="H22" s="70" t="s">
        <v>233</v>
      </c>
    </row>
    <row r="23" spans="1:8" x14ac:dyDescent="0.25">
      <c r="A23" s="14"/>
      <c r="B23" s="21" t="s">
        <v>95</v>
      </c>
      <c r="C23" s="19" t="s">
        <v>94</v>
      </c>
      <c r="D23" s="18" t="s">
        <v>20</v>
      </c>
      <c r="E23" s="12" t="s">
        <v>78</v>
      </c>
      <c r="F23" s="21" t="s">
        <v>52</v>
      </c>
      <c r="G23" s="27"/>
      <c r="H23" s="70" t="s">
        <v>235</v>
      </c>
    </row>
    <row r="24" spans="1:8" x14ac:dyDescent="0.25">
      <c r="A24" s="14"/>
      <c r="B24" s="30" t="s">
        <v>99</v>
      </c>
      <c r="C24" s="15" t="str">
        <f>CONCATENATE($A$11,B24)</f>
        <v>HaulStatisticalRectangle</v>
      </c>
      <c r="D24" s="18" t="s">
        <v>20</v>
      </c>
      <c r="E24" s="12" t="s">
        <v>11</v>
      </c>
      <c r="F24" s="15" t="s">
        <v>303</v>
      </c>
      <c r="G24" s="31"/>
      <c r="H24" s="70" t="s">
        <v>229</v>
      </c>
    </row>
    <row r="25" spans="1:8" ht="30" x14ac:dyDescent="0.25">
      <c r="A25" s="14"/>
      <c r="B25" s="20" t="s">
        <v>34</v>
      </c>
      <c r="C25" s="15" t="str">
        <f>CONCATENATE($A$11,B25)</f>
        <v>HaulMinTrawlDepth</v>
      </c>
      <c r="D25" s="11" t="s">
        <v>10</v>
      </c>
      <c r="E25" s="12" t="s">
        <v>78</v>
      </c>
      <c r="F25" s="20" t="s">
        <v>373</v>
      </c>
      <c r="G25" s="29"/>
      <c r="H25" s="70" t="s">
        <v>238</v>
      </c>
    </row>
    <row r="26" spans="1:8" x14ac:dyDescent="0.25">
      <c r="A26" s="14"/>
      <c r="B26" s="20" t="s">
        <v>35</v>
      </c>
      <c r="C26" s="15" t="str">
        <f>CONCATENATE($A$11,B26)</f>
        <v>HaulMaxTrawlDepth</v>
      </c>
      <c r="D26" s="18" t="s">
        <v>20</v>
      </c>
      <c r="E26" s="12" t="s">
        <v>78</v>
      </c>
      <c r="F26" s="20" t="s">
        <v>374</v>
      </c>
      <c r="G26" s="29"/>
      <c r="H26" s="70" t="s">
        <v>237</v>
      </c>
    </row>
    <row r="27" spans="1:8" x14ac:dyDescent="0.25">
      <c r="A27" s="14"/>
      <c r="B27" s="20" t="s">
        <v>100</v>
      </c>
      <c r="C27" s="15" t="str">
        <f t="shared" ref="C27:C53" si="1">CONCATENATE($A$11,B27)</f>
        <v>HaulBottomDepth</v>
      </c>
      <c r="D27" s="18" t="s">
        <v>20</v>
      </c>
      <c r="E27" s="12" t="s">
        <v>78</v>
      </c>
      <c r="F27" s="15" t="s">
        <v>351</v>
      </c>
      <c r="G27" s="29"/>
      <c r="H27" s="70" t="s">
        <v>239</v>
      </c>
    </row>
    <row r="28" spans="1:8" x14ac:dyDescent="0.25">
      <c r="A28" s="14"/>
      <c r="B28" s="21" t="s">
        <v>36</v>
      </c>
      <c r="C28" s="15" t="str">
        <f t="shared" si="1"/>
        <v>HaulDistance</v>
      </c>
      <c r="D28" s="18" t="s">
        <v>20</v>
      </c>
      <c r="E28" s="12" t="s">
        <v>21</v>
      </c>
      <c r="F28" s="21" t="s">
        <v>74</v>
      </c>
      <c r="G28" s="27"/>
      <c r="H28" s="70" t="s">
        <v>240</v>
      </c>
    </row>
    <row r="29" spans="1:8" x14ac:dyDescent="0.25">
      <c r="A29" s="14"/>
      <c r="B29" s="21" t="s">
        <v>37</v>
      </c>
      <c r="C29" s="15" t="str">
        <f t="shared" si="1"/>
        <v>HaulNetopening</v>
      </c>
      <c r="D29" s="11" t="s">
        <v>10</v>
      </c>
      <c r="E29" s="12" t="s">
        <v>78</v>
      </c>
      <c r="F29" s="21" t="s">
        <v>75</v>
      </c>
      <c r="G29" s="27"/>
      <c r="H29" s="70" t="s">
        <v>241</v>
      </c>
    </row>
    <row r="30" spans="1:8" x14ac:dyDescent="0.25">
      <c r="A30" s="14"/>
      <c r="B30" s="32" t="s">
        <v>38</v>
      </c>
      <c r="C30" s="15" t="str">
        <f t="shared" si="1"/>
        <v>HaulCodendMesh</v>
      </c>
      <c r="D30" s="18" t="s">
        <v>20</v>
      </c>
      <c r="E30" s="12" t="s">
        <v>21</v>
      </c>
      <c r="F30" s="32" t="s">
        <v>388</v>
      </c>
      <c r="G30" s="33"/>
      <c r="H30" s="70" t="s">
        <v>242</v>
      </c>
    </row>
    <row r="31" spans="1:8" x14ac:dyDescent="0.25">
      <c r="A31" s="14"/>
      <c r="B31" s="21" t="s">
        <v>102</v>
      </c>
      <c r="C31" s="15" t="str">
        <f t="shared" si="1"/>
        <v>HaulSweepLength</v>
      </c>
      <c r="D31" s="18" t="s">
        <v>20</v>
      </c>
      <c r="E31" s="12" t="s">
        <v>21</v>
      </c>
      <c r="F31" s="21" t="s">
        <v>304</v>
      </c>
      <c r="G31" s="27"/>
      <c r="H31" s="70" t="s">
        <v>237</v>
      </c>
    </row>
    <row r="32" spans="1:8" x14ac:dyDescent="0.25">
      <c r="A32" s="14"/>
      <c r="B32" s="21" t="s">
        <v>103</v>
      </c>
      <c r="C32" s="15" t="str">
        <f t="shared" si="1"/>
        <v>HaulGearExceptions</v>
      </c>
      <c r="D32" s="18" t="s">
        <v>20</v>
      </c>
      <c r="E32" s="12" t="s">
        <v>11</v>
      </c>
      <c r="F32" s="21" t="s">
        <v>305</v>
      </c>
      <c r="G32" s="61" t="s">
        <v>167</v>
      </c>
      <c r="H32" s="70" t="s">
        <v>243</v>
      </c>
    </row>
    <row r="33" spans="1:8" x14ac:dyDescent="0.25">
      <c r="A33" s="14"/>
      <c r="B33" s="21" t="s">
        <v>39</v>
      </c>
      <c r="C33" s="15" t="str">
        <f t="shared" si="1"/>
        <v>HaulDoorType</v>
      </c>
      <c r="D33" s="18" t="s">
        <v>20</v>
      </c>
      <c r="E33" s="12" t="s">
        <v>11</v>
      </c>
      <c r="F33" s="21" t="s">
        <v>306</v>
      </c>
      <c r="G33" s="61" t="s">
        <v>166</v>
      </c>
      <c r="H33" s="70" t="s">
        <v>244</v>
      </c>
    </row>
    <row r="34" spans="1:8" x14ac:dyDescent="0.25">
      <c r="A34" s="14"/>
      <c r="B34" s="34" t="s">
        <v>104</v>
      </c>
      <c r="C34" s="15" t="str">
        <f t="shared" si="1"/>
        <v>HaulWarpLength</v>
      </c>
      <c r="D34" s="18" t="s">
        <v>20</v>
      </c>
      <c r="E34" s="12" t="s">
        <v>21</v>
      </c>
      <c r="F34" s="34" t="s">
        <v>54</v>
      </c>
      <c r="G34" s="35"/>
      <c r="H34" s="70" t="s">
        <v>245</v>
      </c>
    </row>
    <row r="35" spans="1:8" x14ac:dyDescent="0.25">
      <c r="A35" s="14"/>
      <c r="B35" s="32" t="s">
        <v>105</v>
      </c>
      <c r="C35" s="15" t="str">
        <f t="shared" si="1"/>
        <v>HaulWarpDiameter</v>
      </c>
      <c r="D35" s="18" t="s">
        <v>20</v>
      </c>
      <c r="E35" s="12" t="s">
        <v>21</v>
      </c>
      <c r="F35" s="32" t="s">
        <v>55</v>
      </c>
      <c r="G35" s="15"/>
      <c r="H35" s="70" t="s">
        <v>246</v>
      </c>
    </row>
    <row r="36" spans="1:8" x14ac:dyDescent="0.25">
      <c r="A36" s="14"/>
      <c r="B36" s="32" t="s">
        <v>106</v>
      </c>
      <c r="C36" s="15" t="str">
        <f t="shared" si="1"/>
        <v>HaulWarpDensity</v>
      </c>
      <c r="D36" s="18" t="s">
        <v>20</v>
      </c>
      <c r="E36" s="12" t="s">
        <v>21</v>
      </c>
      <c r="F36" s="32" t="s">
        <v>56</v>
      </c>
      <c r="G36" s="15"/>
      <c r="H36" s="70" t="s">
        <v>237</v>
      </c>
    </row>
    <row r="37" spans="1:8" x14ac:dyDescent="0.25">
      <c r="A37" s="14"/>
      <c r="B37" s="32" t="s">
        <v>40</v>
      </c>
      <c r="C37" s="15" t="str">
        <f t="shared" si="1"/>
        <v>HaulDoorSurface</v>
      </c>
      <c r="D37" s="18" t="s">
        <v>20</v>
      </c>
      <c r="E37" s="12" t="s">
        <v>78</v>
      </c>
      <c r="F37" s="32" t="s">
        <v>57</v>
      </c>
      <c r="G37" s="15"/>
      <c r="H37" s="70" t="s">
        <v>247</v>
      </c>
    </row>
    <row r="38" spans="1:8" x14ac:dyDescent="0.25">
      <c r="A38" s="14"/>
      <c r="B38" s="32" t="s">
        <v>107</v>
      </c>
      <c r="C38" s="15" t="str">
        <f t="shared" si="1"/>
        <v>HaulDoorWeight</v>
      </c>
      <c r="D38" s="18" t="s">
        <v>20</v>
      </c>
      <c r="E38" s="12" t="s">
        <v>21</v>
      </c>
      <c r="F38" s="32" t="s">
        <v>58</v>
      </c>
      <c r="G38" s="15"/>
      <c r="H38" s="70" t="s">
        <v>248</v>
      </c>
    </row>
    <row r="39" spans="1:8" x14ac:dyDescent="0.25">
      <c r="A39" s="14"/>
      <c r="B39" s="32" t="s">
        <v>41</v>
      </c>
      <c r="C39" s="15" t="str">
        <f t="shared" si="1"/>
        <v>HaulDoorSpread</v>
      </c>
      <c r="D39" s="18" t="s">
        <v>20</v>
      </c>
      <c r="E39" s="12" t="s">
        <v>78</v>
      </c>
      <c r="F39" s="32" t="s">
        <v>59</v>
      </c>
      <c r="G39" s="15"/>
      <c r="H39" s="70" t="s">
        <v>236</v>
      </c>
    </row>
    <row r="40" spans="1:8" x14ac:dyDescent="0.25">
      <c r="A40" s="14"/>
      <c r="B40" s="32" t="s">
        <v>42</v>
      </c>
      <c r="C40" s="15" t="str">
        <f t="shared" si="1"/>
        <v>HaulWingSpread</v>
      </c>
      <c r="D40" s="18" t="s">
        <v>20</v>
      </c>
      <c r="E40" s="12" t="s">
        <v>78</v>
      </c>
      <c r="F40" s="32" t="s">
        <v>60</v>
      </c>
      <c r="G40" s="15"/>
      <c r="H40" s="70" t="s">
        <v>238</v>
      </c>
    </row>
    <row r="41" spans="1:8" x14ac:dyDescent="0.25">
      <c r="A41" s="14"/>
      <c r="B41" s="32" t="s">
        <v>43</v>
      </c>
      <c r="C41" s="15" t="str">
        <f t="shared" si="1"/>
        <v>HaulBuoyancy</v>
      </c>
      <c r="D41" s="18" t="s">
        <v>20</v>
      </c>
      <c r="E41" s="12" t="s">
        <v>21</v>
      </c>
      <c r="F41" s="32" t="s">
        <v>61</v>
      </c>
      <c r="G41" s="15"/>
      <c r="H41" s="70" t="s">
        <v>249</v>
      </c>
    </row>
    <row r="42" spans="1:8" x14ac:dyDescent="0.25">
      <c r="A42" s="14"/>
      <c r="B42" s="32" t="s">
        <v>108</v>
      </c>
      <c r="C42" s="15" t="str">
        <f t="shared" si="1"/>
        <v>HaulKiteArea</v>
      </c>
      <c r="D42" s="18" t="s">
        <v>20</v>
      </c>
      <c r="E42" s="12" t="s">
        <v>78</v>
      </c>
      <c r="F42" s="32" t="s">
        <v>62</v>
      </c>
      <c r="G42" s="15"/>
      <c r="H42" s="70" t="s">
        <v>250</v>
      </c>
    </row>
    <row r="43" spans="1:8" x14ac:dyDescent="0.25">
      <c r="A43" s="14"/>
      <c r="B43" s="32" t="s">
        <v>109</v>
      </c>
      <c r="C43" s="15" t="str">
        <f t="shared" si="1"/>
        <v>HaulGroundRopeWeight</v>
      </c>
      <c r="D43" s="18" t="s">
        <v>20</v>
      </c>
      <c r="E43" s="12" t="s">
        <v>21</v>
      </c>
      <c r="F43" s="32" t="s">
        <v>63</v>
      </c>
      <c r="G43" s="15"/>
      <c r="H43" s="70" t="s">
        <v>251</v>
      </c>
    </row>
    <row r="44" spans="1:8" x14ac:dyDescent="0.25">
      <c r="A44" s="14"/>
      <c r="B44" s="15" t="s">
        <v>44</v>
      </c>
      <c r="C44" s="15" t="str">
        <f t="shared" si="1"/>
        <v>HaulRigging</v>
      </c>
      <c r="D44" s="18" t="s">
        <v>20</v>
      </c>
      <c r="E44" s="12" t="s">
        <v>11</v>
      </c>
      <c r="F44" s="15" t="s">
        <v>64</v>
      </c>
      <c r="G44" s="15"/>
      <c r="H44" s="85"/>
    </row>
    <row r="45" spans="1:8" x14ac:dyDescent="0.25">
      <c r="A45" s="14"/>
      <c r="B45" s="15" t="s">
        <v>45</v>
      </c>
      <c r="C45" s="15" t="str">
        <f t="shared" si="1"/>
        <v>HaulTickler</v>
      </c>
      <c r="D45" s="18" t="s">
        <v>20</v>
      </c>
      <c r="E45" s="12" t="s">
        <v>21</v>
      </c>
      <c r="F45" s="15" t="s">
        <v>65</v>
      </c>
      <c r="G45" s="15"/>
      <c r="H45" s="85"/>
    </row>
    <row r="46" spans="1:8" x14ac:dyDescent="0.25">
      <c r="A46" s="14"/>
      <c r="B46" s="20" t="s">
        <v>110</v>
      </c>
      <c r="C46" s="15" t="str">
        <f t="shared" si="1"/>
        <v>HaulHydrographicStationID</v>
      </c>
      <c r="D46" s="18" t="s">
        <v>20</v>
      </c>
      <c r="E46" s="12" t="s">
        <v>11</v>
      </c>
      <c r="F46" s="20" t="s">
        <v>66</v>
      </c>
      <c r="G46" s="15"/>
      <c r="H46" s="70" t="s">
        <v>254</v>
      </c>
    </row>
    <row r="47" spans="1:8" x14ac:dyDescent="0.25">
      <c r="A47" s="14"/>
      <c r="B47" s="32" t="s">
        <v>111</v>
      </c>
      <c r="C47" s="15" t="str">
        <f t="shared" si="1"/>
        <v>HaulTowDirection</v>
      </c>
      <c r="D47" s="18" t="s">
        <v>20</v>
      </c>
      <c r="E47" s="12" t="s">
        <v>21</v>
      </c>
      <c r="F47" s="32" t="s">
        <v>67</v>
      </c>
      <c r="G47" s="15"/>
      <c r="H47" s="70" t="s">
        <v>255</v>
      </c>
    </row>
    <row r="48" spans="1:8" x14ac:dyDescent="0.25">
      <c r="A48" s="14"/>
      <c r="B48" s="34" t="s">
        <v>114</v>
      </c>
      <c r="C48" s="15" t="str">
        <f t="shared" si="1"/>
        <v>HaulSpeedGround</v>
      </c>
      <c r="D48" s="18" t="s">
        <v>20</v>
      </c>
      <c r="E48" s="12" t="s">
        <v>78</v>
      </c>
      <c r="F48" s="34" t="s">
        <v>68</v>
      </c>
      <c r="G48" s="15"/>
      <c r="H48" s="70" t="s">
        <v>250</v>
      </c>
    </row>
    <row r="49" spans="1:8" x14ac:dyDescent="0.25">
      <c r="A49" s="14"/>
      <c r="B49" s="32" t="s">
        <v>46</v>
      </c>
      <c r="C49" s="15" t="str">
        <f t="shared" si="1"/>
        <v>HaulSpeedWater</v>
      </c>
      <c r="D49" s="18" t="s">
        <v>20</v>
      </c>
      <c r="E49" s="12" t="s">
        <v>78</v>
      </c>
      <c r="F49" s="32" t="s">
        <v>69</v>
      </c>
      <c r="G49" s="15"/>
      <c r="H49" s="70" t="s">
        <v>256</v>
      </c>
    </row>
    <row r="50" spans="1:8" x14ac:dyDescent="0.25">
      <c r="A50" s="14"/>
      <c r="B50" s="34" t="s">
        <v>113</v>
      </c>
      <c r="C50" s="15" t="str">
        <f t="shared" si="1"/>
        <v>HaulWindDirection</v>
      </c>
      <c r="D50" s="18" t="s">
        <v>20</v>
      </c>
      <c r="E50" s="12" t="s">
        <v>21</v>
      </c>
      <c r="F50" s="34" t="s">
        <v>70</v>
      </c>
      <c r="G50" s="15"/>
      <c r="H50" s="70" t="s">
        <v>257</v>
      </c>
    </row>
    <row r="51" spans="1:8" x14ac:dyDescent="0.25">
      <c r="A51" s="14"/>
      <c r="B51" s="34" t="s">
        <v>47</v>
      </c>
      <c r="C51" s="15" t="str">
        <f t="shared" si="1"/>
        <v>HaulWindSpeed</v>
      </c>
      <c r="D51" s="18" t="s">
        <v>20</v>
      </c>
      <c r="E51" s="12" t="s">
        <v>21</v>
      </c>
      <c r="F51" s="34" t="s">
        <v>71</v>
      </c>
      <c r="G51" s="15"/>
      <c r="H51" s="70" t="s">
        <v>250</v>
      </c>
    </row>
    <row r="52" spans="1:8" x14ac:dyDescent="0.25">
      <c r="A52" s="14"/>
      <c r="B52" s="32" t="s">
        <v>112</v>
      </c>
      <c r="C52" s="15" t="str">
        <f t="shared" si="1"/>
        <v>HaulSwellDirection</v>
      </c>
      <c r="D52" s="18" t="s">
        <v>20</v>
      </c>
      <c r="E52" s="12" t="s">
        <v>21</v>
      </c>
      <c r="F52" s="32" t="s">
        <v>72</v>
      </c>
      <c r="G52" s="15"/>
      <c r="H52" s="70" t="s">
        <v>258</v>
      </c>
    </row>
    <row r="53" spans="1:8" x14ac:dyDescent="0.25">
      <c r="A53" s="14"/>
      <c r="B53" s="32" t="s">
        <v>48</v>
      </c>
      <c r="C53" s="15" t="str">
        <f t="shared" si="1"/>
        <v>HaulSwellHeight</v>
      </c>
      <c r="D53" s="18" t="s">
        <v>20</v>
      </c>
      <c r="E53" s="12" t="s">
        <v>78</v>
      </c>
      <c r="F53" s="32" t="s">
        <v>73</v>
      </c>
      <c r="G53" s="15"/>
      <c r="H53" s="70" t="s">
        <v>259</v>
      </c>
    </row>
    <row r="54" spans="1:8" x14ac:dyDescent="0.25">
      <c r="A54" s="14"/>
      <c r="B54" s="20" t="s">
        <v>148</v>
      </c>
      <c r="C54" s="15" t="str">
        <f>CONCATENATE($A$11,B54)</f>
        <v>HaulLogDistance</v>
      </c>
      <c r="D54" s="18" t="s">
        <v>20</v>
      </c>
      <c r="E54" s="12" t="s">
        <v>78</v>
      </c>
      <c r="F54" s="20" t="s">
        <v>260</v>
      </c>
      <c r="G54" s="15"/>
      <c r="H54" s="70" t="s">
        <v>261</v>
      </c>
    </row>
    <row r="55" spans="1:8" s="23" customFormat="1" ht="15.75" thickBot="1" x14ac:dyDescent="0.3">
      <c r="B55" s="44" t="s">
        <v>381</v>
      </c>
      <c r="C55" s="23" t="str">
        <f>CONCATENATE($A$11,B55)</f>
        <v>HaulStratum</v>
      </c>
      <c r="D55" s="18" t="s">
        <v>20</v>
      </c>
      <c r="E55" s="24" t="s">
        <v>11</v>
      </c>
      <c r="F55" s="44" t="s">
        <v>383</v>
      </c>
      <c r="G55" s="87" t="s">
        <v>384</v>
      </c>
      <c r="H55" s="68" t="s">
        <v>382</v>
      </c>
    </row>
    <row r="56" spans="1:8" x14ac:dyDescent="0.25">
      <c r="A56" s="91" t="s">
        <v>80</v>
      </c>
      <c r="B56" s="50" t="s">
        <v>9</v>
      </c>
      <c r="C56" s="51" t="s">
        <v>80</v>
      </c>
      <c r="D56" s="52" t="s">
        <v>10</v>
      </c>
      <c r="E56" s="53" t="s">
        <v>11</v>
      </c>
      <c r="F56" s="13" t="s">
        <v>12</v>
      </c>
      <c r="G56" s="15" t="s">
        <v>80</v>
      </c>
      <c r="H56" s="70" t="s">
        <v>80</v>
      </c>
    </row>
    <row r="57" spans="1:8" x14ac:dyDescent="0.25">
      <c r="A57" s="88" t="s">
        <v>385</v>
      </c>
      <c r="B57" s="50" t="s">
        <v>9</v>
      </c>
      <c r="C57" s="51" t="s">
        <v>13</v>
      </c>
      <c r="D57" s="52" t="s">
        <v>10</v>
      </c>
      <c r="E57" s="53" t="s">
        <v>11</v>
      </c>
      <c r="F57" s="13" t="s">
        <v>14</v>
      </c>
      <c r="G57" s="15" t="s">
        <v>15</v>
      </c>
      <c r="H57" s="70" t="s">
        <v>16</v>
      </c>
    </row>
    <row r="58" spans="1:8" x14ac:dyDescent="0.25">
      <c r="A58" s="14"/>
      <c r="B58" s="50" t="s">
        <v>9</v>
      </c>
      <c r="C58" s="51" t="s">
        <v>118</v>
      </c>
      <c r="D58" s="52" t="s">
        <v>10</v>
      </c>
      <c r="E58" s="53" t="s">
        <v>11</v>
      </c>
      <c r="F58" s="13" t="s">
        <v>296</v>
      </c>
      <c r="G58" s="15"/>
      <c r="H58" s="66" t="s">
        <v>172</v>
      </c>
    </row>
    <row r="59" spans="1:8" x14ac:dyDescent="0.25">
      <c r="A59" s="14"/>
      <c r="B59" s="50" t="s">
        <v>9</v>
      </c>
      <c r="C59" s="54" t="s">
        <v>125</v>
      </c>
      <c r="D59" s="52" t="s">
        <v>10</v>
      </c>
      <c r="E59" s="53" t="s">
        <v>11</v>
      </c>
      <c r="F59" s="13" t="s">
        <v>307</v>
      </c>
      <c r="G59" s="17" t="s">
        <v>162</v>
      </c>
      <c r="H59" s="70" t="s">
        <v>226</v>
      </c>
    </row>
    <row r="60" spans="1:8" x14ac:dyDescent="0.25">
      <c r="A60" s="14"/>
      <c r="B60" s="50" t="s">
        <v>9</v>
      </c>
      <c r="C60" s="54" t="s">
        <v>145</v>
      </c>
      <c r="D60" s="52" t="s">
        <v>10</v>
      </c>
      <c r="E60" s="53" t="s">
        <v>11</v>
      </c>
      <c r="F60" s="13" t="s">
        <v>308</v>
      </c>
      <c r="G60" s="15"/>
      <c r="H60" s="70">
        <v>12</v>
      </c>
    </row>
    <row r="61" spans="1:8" ht="30" x14ac:dyDescent="0.25">
      <c r="A61" s="26"/>
      <c r="B61" s="20" t="s">
        <v>126</v>
      </c>
      <c r="C61" s="51" t="str">
        <f>CONCATENATE($A$56,B61)</f>
        <v>CatchDataType</v>
      </c>
      <c r="D61" s="52" t="s">
        <v>10</v>
      </c>
      <c r="E61" s="55" t="s">
        <v>11</v>
      </c>
      <c r="F61" s="20" t="s">
        <v>372</v>
      </c>
      <c r="G61" s="61" t="s">
        <v>165</v>
      </c>
      <c r="H61" s="70" t="s">
        <v>244</v>
      </c>
    </row>
    <row r="62" spans="1:8" ht="30" customHeight="1" x14ac:dyDescent="0.25">
      <c r="A62" s="14"/>
      <c r="B62" s="36" t="s">
        <v>146</v>
      </c>
      <c r="C62" s="51" t="str">
        <f t="shared" ref="C62:C76" si="2">CONCATENATE($A$56,B62)</f>
        <v>CatchSpeciesCode</v>
      </c>
      <c r="D62" s="52" t="s">
        <v>10</v>
      </c>
      <c r="E62" s="53" t="s">
        <v>11</v>
      </c>
      <c r="F62" s="36" t="s">
        <v>340</v>
      </c>
      <c r="G62" s="62" t="s">
        <v>161</v>
      </c>
      <c r="H62" s="70" t="s">
        <v>262</v>
      </c>
    </row>
    <row r="63" spans="1:8" ht="30" x14ac:dyDescent="0.25">
      <c r="A63" s="14"/>
      <c r="B63" s="38" t="s">
        <v>127</v>
      </c>
      <c r="C63" s="51" t="str">
        <f>CONCATENATE($A$56,B63)</f>
        <v>CatchSpeciesValidity</v>
      </c>
      <c r="D63" s="52" t="s">
        <v>10</v>
      </c>
      <c r="E63" s="53" t="s">
        <v>11</v>
      </c>
      <c r="F63" s="38" t="s">
        <v>341</v>
      </c>
      <c r="G63" s="61" t="s">
        <v>164</v>
      </c>
      <c r="H63" s="70" t="s">
        <v>263</v>
      </c>
    </row>
    <row r="64" spans="1:8" ht="45" x14ac:dyDescent="0.25">
      <c r="A64" s="14"/>
      <c r="B64" s="38" t="s">
        <v>143</v>
      </c>
      <c r="C64" s="51" t="str">
        <f>CONCATENATE($A$56,B64)</f>
        <v>CatchSpeciesCategory</v>
      </c>
      <c r="D64" s="52" t="s">
        <v>10</v>
      </c>
      <c r="E64" s="53" t="s">
        <v>21</v>
      </c>
      <c r="F64" s="94" t="s">
        <v>345</v>
      </c>
      <c r="G64" s="61"/>
      <c r="H64" s="70" t="s">
        <v>263</v>
      </c>
    </row>
    <row r="65" spans="1:8" ht="60" x14ac:dyDescent="0.25">
      <c r="A65" s="14"/>
      <c r="B65" s="21" t="s">
        <v>335</v>
      </c>
      <c r="C65" s="51" t="str">
        <f>CONCATENATE($A$56,B65)</f>
        <v>CatchSpeciesCategoryNumber</v>
      </c>
      <c r="D65" s="56" t="s">
        <v>347</v>
      </c>
      <c r="E65" s="53" t="s">
        <v>78</v>
      </c>
      <c r="F65" s="93" t="s">
        <v>387</v>
      </c>
      <c r="G65" s="15"/>
      <c r="H65" s="70" t="s">
        <v>264</v>
      </c>
    </row>
    <row r="66" spans="1:8" ht="30" x14ac:dyDescent="0.25">
      <c r="A66" s="14"/>
      <c r="B66" s="21" t="s">
        <v>140</v>
      </c>
      <c r="C66" s="54" t="str">
        <f>CONCATENATE($A$56,B66)</f>
        <v>CatchWeightUnit</v>
      </c>
      <c r="D66" s="56" t="s">
        <v>133</v>
      </c>
      <c r="E66" s="53" t="s">
        <v>11</v>
      </c>
      <c r="F66" s="21" t="s">
        <v>375</v>
      </c>
      <c r="G66" s="61" t="s">
        <v>170</v>
      </c>
      <c r="H66" s="70" t="s">
        <v>265</v>
      </c>
    </row>
    <row r="67" spans="1:8" s="45" customFormat="1" ht="45" x14ac:dyDescent="0.25">
      <c r="A67" s="26"/>
      <c r="B67" s="21" t="s">
        <v>334</v>
      </c>
      <c r="C67" s="54" t="str">
        <f t="shared" si="2"/>
        <v>CatchSpeciesCategoryWeight</v>
      </c>
      <c r="D67" s="56" t="s">
        <v>347</v>
      </c>
      <c r="E67" s="53" t="s">
        <v>78</v>
      </c>
      <c r="F67" s="93" t="s">
        <v>378</v>
      </c>
      <c r="G67" s="19"/>
      <c r="H67" s="73" t="s">
        <v>266</v>
      </c>
    </row>
    <row r="68" spans="1:8" ht="30" x14ac:dyDescent="0.25">
      <c r="A68" s="14"/>
      <c r="B68" s="21" t="s">
        <v>142</v>
      </c>
      <c r="C68" s="51" t="str">
        <f>CONCATENATE($A$56,B68)</f>
        <v>CatchSpeciesSex</v>
      </c>
      <c r="D68" s="56" t="s">
        <v>20</v>
      </c>
      <c r="E68" s="53" t="s">
        <v>11</v>
      </c>
      <c r="F68" s="21" t="s">
        <v>377</v>
      </c>
      <c r="G68" s="61" t="s">
        <v>158</v>
      </c>
      <c r="H68" s="70" t="s">
        <v>253</v>
      </c>
    </row>
    <row r="69" spans="1:8" ht="45" x14ac:dyDescent="0.25">
      <c r="A69" s="14"/>
      <c r="B69" s="21" t="s">
        <v>132</v>
      </c>
      <c r="C69" s="51" t="str">
        <f t="shared" si="2"/>
        <v>CatchSubsampledNumber</v>
      </c>
      <c r="D69" s="56" t="s">
        <v>342</v>
      </c>
      <c r="E69" s="53" t="s">
        <v>21</v>
      </c>
      <c r="F69" s="21" t="s">
        <v>352</v>
      </c>
      <c r="G69" s="15"/>
      <c r="H69" s="70" t="s">
        <v>246</v>
      </c>
    </row>
    <row r="70" spans="1:8" ht="30" x14ac:dyDescent="0.25">
      <c r="A70" s="14"/>
      <c r="B70" s="38" t="s">
        <v>115</v>
      </c>
      <c r="C70" s="51" t="str">
        <f t="shared" si="2"/>
        <v>CatchSubsamplingFactor</v>
      </c>
      <c r="D70" s="56" t="s">
        <v>20</v>
      </c>
      <c r="E70" s="53" t="s">
        <v>78</v>
      </c>
      <c r="F70" s="38" t="s">
        <v>346</v>
      </c>
      <c r="G70" s="15"/>
      <c r="H70" s="70" t="s">
        <v>249</v>
      </c>
    </row>
    <row r="71" spans="1:8" ht="45" x14ac:dyDescent="0.25">
      <c r="A71" s="14"/>
      <c r="B71" s="38" t="s">
        <v>116</v>
      </c>
      <c r="C71" s="51" t="str">
        <f t="shared" si="2"/>
        <v>CatchSubsampleWeight</v>
      </c>
      <c r="D71" s="56" t="s">
        <v>342</v>
      </c>
      <c r="E71" s="53" t="s">
        <v>78</v>
      </c>
      <c r="F71" s="94" t="s">
        <v>376</v>
      </c>
      <c r="G71" s="15"/>
      <c r="H71" s="70" t="s">
        <v>267</v>
      </c>
    </row>
    <row r="72" spans="1:8" ht="45" x14ac:dyDescent="0.25">
      <c r="A72" s="14"/>
      <c r="B72" s="21" t="s">
        <v>141</v>
      </c>
      <c r="C72" s="54" t="str">
        <f>CONCATENATE($A$56,B72)</f>
        <v>CatchLengthCode</v>
      </c>
      <c r="D72" s="56" t="s">
        <v>342</v>
      </c>
      <c r="E72" s="53" t="s">
        <v>11</v>
      </c>
      <c r="F72" s="21" t="s">
        <v>353</v>
      </c>
      <c r="G72" s="17" t="s">
        <v>169</v>
      </c>
      <c r="H72" s="70" t="s">
        <v>268</v>
      </c>
    </row>
    <row r="73" spans="1:8" ht="30" x14ac:dyDescent="0.25">
      <c r="A73" s="14"/>
      <c r="B73" s="21" t="s">
        <v>119</v>
      </c>
      <c r="C73" s="51" t="str">
        <f t="shared" si="2"/>
        <v>CatchLengthClass</v>
      </c>
      <c r="D73" s="56" t="s">
        <v>342</v>
      </c>
      <c r="E73" s="53" t="s">
        <v>21</v>
      </c>
      <c r="F73" s="21" t="s">
        <v>343</v>
      </c>
      <c r="G73" s="15"/>
      <c r="H73" s="70" t="s">
        <v>269</v>
      </c>
    </row>
    <row r="74" spans="1:8" x14ac:dyDescent="0.25">
      <c r="A74" s="14"/>
      <c r="B74" s="38" t="s">
        <v>128</v>
      </c>
      <c r="C74" s="51" t="str">
        <f t="shared" si="2"/>
        <v>CatchLengthType</v>
      </c>
      <c r="D74" s="56" t="s">
        <v>20</v>
      </c>
      <c r="E74" s="53" t="s">
        <v>11</v>
      </c>
      <c r="F74" s="38" t="s">
        <v>309</v>
      </c>
      <c r="G74" s="61" t="s">
        <v>163</v>
      </c>
      <c r="H74" s="70" t="s">
        <v>263</v>
      </c>
    </row>
    <row r="75" spans="1:8" ht="45" x14ac:dyDescent="0.25">
      <c r="A75" s="14"/>
      <c r="B75" s="21" t="s">
        <v>117</v>
      </c>
      <c r="C75" s="51" t="str">
        <f t="shared" si="2"/>
        <v>CatchNumberAtLength</v>
      </c>
      <c r="D75" s="56" t="s">
        <v>342</v>
      </c>
      <c r="E75" s="53" t="s">
        <v>78</v>
      </c>
      <c r="F75" s="93" t="s">
        <v>354</v>
      </c>
      <c r="G75" s="15"/>
      <c r="H75" s="70" t="s">
        <v>270</v>
      </c>
    </row>
    <row r="76" spans="1:8" ht="15.75" thickBot="1" x14ac:dyDescent="0.3">
      <c r="A76" s="22"/>
      <c r="B76" s="43" t="s">
        <v>139</v>
      </c>
      <c r="C76" s="57" t="str">
        <f t="shared" si="2"/>
        <v>CatchWeightAtLength</v>
      </c>
      <c r="D76" s="58" t="s">
        <v>20</v>
      </c>
      <c r="E76" s="60" t="s">
        <v>78</v>
      </c>
      <c r="F76" s="95" t="s">
        <v>344</v>
      </c>
      <c r="G76" s="23"/>
      <c r="H76" s="71" t="s">
        <v>271</v>
      </c>
    </row>
    <row r="77" spans="1:8" x14ac:dyDescent="0.25">
      <c r="A77" s="89" t="s">
        <v>81</v>
      </c>
      <c r="B77" s="46" t="s">
        <v>9</v>
      </c>
      <c r="C77" s="47" t="s">
        <v>81</v>
      </c>
      <c r="D77" s="48" t="s">
        <v>10</v>
      </c>
      <c r="E77" s="49" t="s">
        <v>11</v>
      </c>
      <c r="F77" s="8" t="s">
        <v>12</v>
      </c>
      <c r="G77" s="25" t="s">
        <v>81</v>
      </c>
      <c r="H77" s="69" t="s">
        <v>81</v>
      </c>
    </row>
    <row r="78" spans="1:8" x14ac:dyDescent="0.25">
      <c r="A78" s="92" t="s">
        <v>386</v>
      </c>
      <c r="B78" s="50" t="s">
        <v>9</v>
      </c>
      <c r="C78" s="51" t="s">
        <v>13</v>
      </c>
      <c r="D78" s="52" t="s">
        <v>10</v>
      </c>
      <c r="E78" s="53" t="s">
        <v>11</v>
      </c>
      <c r="F78" s="13" t="s">
        <v>14</v>
      </c>
      <c r="G78" s="15"/>
      <c r="H78" s="70" t="s">
        <v>173</v>
      </c>
    </row>
    <row r="79" spans="1:8" x14ac:dyDescent="0.25">
      <c r="A79" s="14"/>
      <c r="B79" s="50" t="s">
        <v>9</v>
      </c>
      <c r="C79" s="51" t="s">
        <v>118</v>
      </c>
      <c r="D79" s="52" t="s">
        <v>10</v>
      </c>
      <c r="E79" s="53" t="s">
        <v>11</v>
      </c>
      <c r="F79" s="13" t="s">
        <v>296</v>
      </c>
      <c r="G79" s="15"/>
      <c r="H79" s="66" t="s">
        <v>172</v>
      </c>
    </row>
    <row r="80" spans="1:8" x14ac:dyDescent="0.25">
      <c r="A80" s="14"/>
      <c r="B80" s="50" t="s">
        <v>9</v>
      </c>
      <c r="C80" s="54" t="s">
        <v>125</v>
      </c>
      <c r="D80" s="52" t="s">
        <v>10</v>
      </c>
      <c r="E80" s="53" t="s">
        <v>11</v>
      </c>
      <c r="F80" s="13" t="s">
        <v>307</v>
      </c>
      <c r="G80" s="17" t="s">
        <v>162</v>
      </c>
      <c r="H80" s="70" t="s">
        <v>226</v>
      </c>
    </row>
    <row r="81" spans="1:8" x14ac:dyDescent="0.25">
      <c r="A81" s="14"/>
      <c r="B81" s="50" t="s">
        <v>9</v>
      </c>
      <c r="C81" s="54" t="s">
        <v>145</v>
      </c>
      <c r="D81" s="52" t="s">
        <v>10</v>
      </c>
      <c r="E81" s="53" t="s">
        <v>11</v>
      </c>
      <c r="F81" s="13" t="s">
        <v>308</v>
      </c>
      <c r="G81" s="15"/>
      <c r="H81" s="70" t="s">
        <v>227</v>
      </c>
    </row>
    <row r="82" spans="1:8" x14ac:dyDescent="0.25">
      <c r="A82" s="14"/>
      <c r="B82" s="50" t="s">
        <v>9</v>
      </c>
      <c r="C82" s="51" t="s">
        <v>160</v>
      </c>
      <c r="D82" s="52" t="s">
        <v>10</v>
      </c>
      <c r="E82" s="53" t="s">
        <v>11</v>
      </c>
      <c r="F82" s="36" t="s">
        <v>322</v>
      </c>
      <c r="G82" s="62" t="s">
        <v>161</v>
      </c>
      <c r="H82" s="70" t="s">
        <v>262</v>
      </c>
    </row>
    <row r="83" spans="1:8" x14ac:dyDescent="0.25">
      <c r="B83" s="50" t="s">
        <v>9</v>
      </c>
      <c r="C83" s="51" t="s">
        <v>207</v>
      </c>
      <c r="D83" s="52" t="s">
        <v>10</v>
      </c>
      <c r="E83" s="55" t="s">
        <v>21</v>
      </c>
      <c r="F83" s="13" t="s">
        <v>336</v>
      </c>
      <c r="H83" s="86">
        <v>1</v>
      </c>
    </row>
    <row r="84" spans="1:8" x14ac:dyDescent="0.25">
      <c r="A84" s="14"/>
      <c r="B84" s="36" t="s">
        <v>147</v>
      </c>
      <c r="C84" s="51" t="str">
        <f>CONCATENATE($A$77,B84)</f>
        <v>BiologyStockCode</v>
      </c>
      <c r="D84" s="56" t="s">
        <v>20</v>
      </c>
      <c r="E84" s="53" t="s">
        <v>11</v>
      </c>
      <c r="F84" s="36" t="s">
        <v>310</v>
      </c>
      <c r="G84" s="62" t="s">
        <v>159</v>
      </c>
      <c r="H84" s="70" t="s">
        <v>272</v>
      </c>
    </row>
    <row r="85" spans="1:8" x14ac:dyDescent="0.25">
      <c r="A85" s="14"/>
      <c r="B85" s="36" t="s">
        <v>53</v>
      </c>
      <c r="C85" s="51" t="str">
        <f>CONCATENATE($A$77,B85)</f>
        <v>BiologyFishID</v>
      </c>
      <c r="D85" s="52" t="s">
        <v>10</v>
      </c>
      <c r="E85" s="53" t="s">
        <v>21</v>
      </c>
      <c r="F85" s="37" t="s">
        <v>315</v>
      </c>
      <c r="G85" s="37"/>
      <c r="H85" s="70" t="s">
        <v>270</v>
      </c>
    </row>
    <row r="86" spans="1:8" ht="30" x14ac:dyDescent="0.25">
      <c r="A86" s="14"/>
      <c r="B86" s="21" t="s">
        <v>141</v>
      </c>
      <c r="C86" s="51" t="str">
        <f>CONCATENATE($A$77,B86)</f>
        <v>BiologyLengthCode</v>
      </c>
      <c r="D86" s="52" t="s">
        <v>10</v>
      </c>
      <c r="E86" s="53" t="s">
        <v>11</v>
      </c>
      <c r="F86" s="21" t="s">
        <v>348</v>
      </c>
      <c r="G86" s="17" t="s">
        <v>169</v>
      </c>
      <c r="H86" s="70" t="s">
        <v>268</v>
      </c>
    </row>
    <row r="87" spans="1:8" ht="30" x14ac:dyDescent="0.25">
      <c r="A87" s="14"/>
      <c r="B87" s="38" t="s">
        <v>119</v>
      </c>
      <c r="C87" s="51" t="str">
        <f t="shared" ref="C87:C100" si="3">CONCATENATE($A$77,B87)</f>
        <v>BiologyLengthClass</v>
      </c>
      <c r="D87" s="52" t="s">
        <v>10</v>
      </c>
      <c r="E87" s="53" t="s">
        <v>21</v>
      </c>
      <c r="F87" s="21" t="s">
        <v>349</v>
      </c>
      <c r="G87" s="39"/>
      <c r="H87" s="70" t="s">
        <v>269</v>
      </c>
    </row>
    <row r="88" spans="1:8" x14ac:dyDescent="0.25">
      <c r="A88" s="14"/>
      <c r="B88" s="38" t="s">
        <v>140</v>
      </c>
      <c r="C88" s="51" t="str">
        <f t="shared" si="3"/>
        <v>BiologyWeightUnit</v>
      </c>
      <c r="D88" s="56" t="s">
        <v>20</v>
      </c>
      <c r="E88" s="53" t="s">
        <v>11</v>
      </c>
      <c r="F88" s="21" t="s">
        <v>311</v>
      </c>
      <c r="G88" s="61" t="s">
        <v>170</v>
      </c>
      <c r="H88" s="70" t="s">
        <v>273</v>
      </c>
    </row>
    <row r="89" spans="1:8" x14ac:dyDescent="0.25">
      <c r="A89" s="14"/>
      <c r="B89" s="36" t="s">
        <v>134</v>
      </c>
      <c r="C89" s="51" t="str">
        <f t="shared" si="3"/>
        <v>BiologyIndividualWeight</v>
      </c>
      <c r="D89" s="56" t="s">
        <v>20</v>
      </c>
      <c r="E89" s="53" t="s">
        <v>78</v>
      </c>
      <c r="F89" s="39" t="s">
        <v>149</v>
      </c>
      <c r="G89" s="37"/>
      <c r="H89" s="70" t="s">
        <v>274</v>
      </c>
    </row>
    <row r="90" spans="1:8" x14ac:dyDescent="0.25">
      <c r="A90" s="14"/>
      <c r="B90" s="38" t="s">
        <v>135</v>
      </c>
      <c r="C90" s="51" t="str">
        <f t="shared" si="3"/>
        <v>BiologyIndividualSex</v>
      </c>
      <c r="D90" s="56" t="s">
        <v>20</v>
      </c>
      <c r="E90" s="53" t="s">
        <v>11</v>
      </c>
      <c r="F90" s="38" t="s">
        <v>312</v>
      </c>
      <c r="G90" s="61" t="s">
        <v>158</v>
      </c>
      <c r="H90" s="70" t="s">
        <v>253</v>
      </c>
    </row>
    <row r="91" spans="1:8" x14ac:dyDescent="0.25">
      <c r="A91" s="14"/>
      <c r="B91" s="38" t="s">
        <v>136</v>
      </c>
      <c r="C91" s="51" t="str">
        <f t="shared" si="3"/>
        <v>BiologyIndividualMaturity</v>
      </c>
      <c r="D91" s="56" t="s">
        <v>20</v>
      </c>
      <c r="E91" s="53" t="s">
        <v>11</v>
      </c>
      <c r="F91" s="38" t="s">
        <v>316</v>
      </c>
      <c r="G91" s="61" t="s">
        <v>157</v>
      </c>
      <c r="H91" s="70" t="s">
        <v>275</v>
      </c>
    </row>
    <row r="92" spans="1:8" x14ac:dyDescent="0.25">
      <c r="A92" s="14"/>
      <c r="B92" s="38" t="s">
        <v>129</v>
      </c>
      <c r="C92" s="51" t="str">
        <f t="shared" si="3"/>
        <v>BiologyMaturityScale</v>
      </c>
      <c r="D92" s="56" t="s">
        <v>20</v>
      </c>
      <c r="E92" s="53" t="s">
        <v>11</v>
      </c>
      <c r="F92" s="38" t="s">
        <v>313</v>
      </c>
      <c r="G92" s="61" t="s">
        <v>156</v>
      </c>
      <c r="H92" s="70" t="s">
        <v>276</v>
      </c>
    </row>
    <row r="93" spans="1:8" x14ac:dyDescent="0.25">
      <c r="A93" s="14"/>
      <c r="B93" s="59" t="s">
        <v>137</v>
      </c>
      <c r="C93" s="51" t="str">
        <f t="shared" si="3"/>
        <v>BiologyIndividualAge</v>
      </c>
      <c r="D93" s="56" t="s">
        <v>20</v>
      </c>
      <c r="E93" s="53" t="s">
        <v>21</v>
      </c>
      <c r="F93" s="40" t="s">
        <v>314</v>
      </c>
      <c r="G93" s="41"/>
      <c r="H93" s="70" t="s">
        <v>277</v>
      </c>
    </row>
    <row r="94" spans="1:8" x14ac:dyDescent="0.25">
      <c r="A94" s="14"/>
      <c r="B94" s="59" t="s">
        <v>389</v>
      </c>
      <c r="C94" s="51" t="str">
        <f t="shared" ref="C94" si="4">CONCATENATE($A$77,B94)</f>
        <v>BiologyIndividualGrowthRings</v>
      </c>
      <c r="D94" s="56" t="s">
        <v>20</v>
      </c>
      <c r="E94" s="53" t="s">
        <v>21</v>
      </c>
      <c r="F94" s="40" t="s">
        <v>390</v>
      </c>
      <c r="G94" s="41"/>
      <c r="H94" s="70" t="s">
        <v>277</v>
      </c>
    </row>
    <row r="95" spans="1:8" ht="30" x14ac:dyDescent="0.25">
      <c r="A95" s="14"/>
      <c r="B95" s="21" t="s">
        <v>130</v>
      </c>
      <c r="C95" s="51" t="str">
        <f t="shared" si="3"/>
        <v>BiologyAgePlusGroup</v>
      </c>
      <c r="D95" s="56" t="s">
        <v>20</v>
      </c>
      <c r="E95" s="53" t="s">
        <v>11</v>
      </c>
      <c r="F95" s="21" t="s">
        <v>317</v>
      </c>
      <c r="G95" s="61" t="s">
        <v>155</v>
      </c>
      <c r="H95" s="70" t="s">
        <v>278</v>
      </c>
    </row>
    <row r="96" spans="1:8" x14ac:dyDescent="0.25">
      <c r="A96" s="14"/>
      <c r="B96" s="59" t="s">
        <v>131</v>
      </c>
      <c r="C96" s="51" t="str">
        <f t="shared" si="3"/>
        <v>BiologyAgeSource</v>
      </c>
      <c r="D96" s="56" t="s">
        <v>20</v>
      </c>
      <c r="E96" s="53" t="s">
        <v>11</v>
      </c>
      <c r="F96" s="40" t="s">
        <v>318</v>
      </c>
      <c r="G96" s="61" t="s">
        <v>154</v>
      </c>
      <c r="H96" s="70" t="s">
        <v>279</v>
      </c>
    </row>
    <row r="97" spans="1:8" x14ac:dyDescent="0.25">
      <c r="A97" s="14"/>
      <c r="B97" s="59" t="s">
        <v>150</v>
      </c>
      <c r="C97" s="51" t="str">
        <f t="shared" si="3"/>
        <v>BiologyGeneticSamplingFlag</v>
      </c>
      <c r="D97" s="56" t="s">
        <v>20</v>
      </c>
      <c r="E97" s="53" t="s">
        <v>11</v>
      </c>
      <c r="F97" s="42" t="s">
        <v>319</v>
      </c>
      <c r="G97" s="61" t="s">
        <v>153</v>
      </c>
      <c r="H97" s="70" t="s">
        <v>280</v>
      </c>
    </row>
    <row r="98" spans="1:8" x14ac:dyDescent="0.25">
      <c r="A98" s="14"/>
      <c r="B98" s="21" t="s">
        <v>151</v>
      </c>
      <c r="C98" s="51" t="str">
        <f t="shared" si="3"/>
        <v>BiologyStomachSamplingFlag</v>
      </c>
      <c r="D98" s="56" t="s">
        <v>20</v>
      </c>
      <c r="E98" s="53" t="s">
        <v>11</v>
      </c>
      <c r="F98" s="21" t="s">
        <v>320</v>
      </c>
      <c r="G98" s="61" t="s">
        <v>153</v>
      </c>
      <c r="H98" s="70" t="s">
        <v>281</v>
      </c>
    </row>
    <row r="99" spans="1:8" x14ac:dyDescent="0.25">
      <c r="A99" s="14"/>
      <c r="B99" s="38" t="s">
        <v>152</v>
      </c>
      <c r="C99" s="51" t="str">
        <f t="shared" si="3"/>
        <v>BiologyParasiteSamplingFlag</v>
      </c>
      <c r="D99" s="56" t="s">
        <v>20</v>
      </c>
      <c r="E99" s="53" t="s">
        <v>11</v>
      </c>
      <c r="F99" s="38" t="s">
        <v>321</v>
      </c>
      <c r="G99" s="61" t="s">
        <v>153</v>
      </c>
      <c r="H99" s="70" t="s">
        <v>282</v>
      </c>
    </row>
    <row r="100" spans="1:8" ht="15.75" thickBot="1" x14ac:dyDescent="0.3">
      <c r="A100" s="22"/>
      <c r="B100" s="43" t="s">
        <v>138</v>
      </c>
      <c r="C100" s="57" t="str">
        <f t="shared" si="3"/>
        <v>BiologyIndividualVertebraeCount</v>
      </c>
      <c r="D100" s="58" t="s">
        <v>20</v>
      </c>
      <c r="E100" s="60" t="s">
        <v>21</v>
      </c>
      <c r="F100" s="43" t="s">
        <v>350</v>
      </c>
      <c r="G100" s="23"/>
      <c r="H100" s="71" t="s">
        <v>283</v>
      </c>
    </row>
    <row r="103" spans="1:8" x14ac:dyDescent="0.25">
      <c r="A103" t="s">
        <v>379</v>
      </c>
    </row>
  </sheetData>
  <hyperlinks>
    <hyperlink ref="G4" r:id="rId1" xr:uid="{00000000-0004-0000-0000-000000000000}"/>
    <hyperlink ref="G5" r:id="rId2" xr:uid="{00000000-0004-0000-0000-000001000000}"/>
    <hyperlink ref="G6" r:id="rId3" xr:uid="{00000000-0004-0000-0000-000002000000}"/>
    <hyperlink ref="G7" r:id="rId4" xr:uid="{00000000-0004-0000-0000-000003000000}"/>
    <hyperlink ref="G97" r:id="rId5" xr:uid="{00000000-0004-0000-0000-000004000000}"/>
    <hyperlink ref="G98" r:id="rId6" xr:uid="{00000000-0004-0000-0000-000005000000}"/>
    <hyperlink ref="G99" r:id="rId7" xr:uid="{00000000-0004-0000-0000-000006000000}"/>
    <hyperlink ref="G96" r:id="rId8" xr:uid="{00000000-0004-0000-0000-000007000000}"/>
    <hyperlink ref="G95" r:id="rId9" xr:uid="{00000000-0004-0000-0000-000008000000}"/>
    <hyperlink ref="G92" r:id="rId10" xr:uid="{00000000-0004-0000-0000-000009000000}"/>
    <hyperlink ref="G91" r:id="rId11" xr:uid="{00000000-0004-0000-0000-00000A000000}"/>
    <hyperlink ref="G90" r:id="rId12" xr:uid="{00000000-0004-0000-0000-00000B000000}"/>
    <hyperlink ref="G82" r:id="rId13" xr:uid="{00000000-0004-0000-0000-00000C000000}"/>
    <hyperlink ref="G62" r:id="rId14" xr:uid="{00000000-0004-0000-0000-00000D000000}"/>
    <hyperlink ref="G59" r:id="rId15" xr:uid="{00000000-0004-0000-0000-00000E000000}"/>
    <hyperlink ref="G80" r:id="rId16" xr:uid="{00000000-0004-0000-0000-00000F000000}"/>
    <hyperlink ref="G14" r:id="rId17" xr:uid="{00000000-0004-0000-0000-000010000000}"/>
    <hyperlink ref="G74" r:id="rId18" xr:uid="{00000000-0004-0000-0000-000011000000}"/>
    <hyperlink ref="G63" r:id="rId19" xr:uid="{00000000-0004-0000-0000-000012000000}"/>
    <hyperlink ref="G61" r:id="rId20" xr:uid="{00000000-0004-0000-0000-000013000000}"/>
    <hyperlink ref="G33" r:id="rId21" xr:uid="{00000000-0004-0000-0000-000014000000}"/>
    <hyperlink ref="G32" r:id="rId22" xr:uid="{00000000-0004-0000-0000-000015000000}"/>
    <hyperlink ref="G19" r:id="rId23" xr:uid="{00000000-0004-0000-0000-000016000000}"/>
    <hyperlink ref="G86" r:id="rId24" xr:uid="{00000000-0004-0000-0000-000017000000}"/>
    <hyperlink ref="G72" r:id="rId25" xr:uid="{00000000-0004-0000-0000-000018000000}"/>
    <hyperlink ref="G88" r:id="rId26" xr:uid="{00000000-0004-0000-0000-000019000000}"/>
    <hyperlink ref="G68" r:id="rId27" xr:uid="{00000000-0004-0000-0000-00001A000000}"/>
    <hyperlink ref="G84" r:id="rId28" xr:uid="{00000000-0004-0000-0000-00001B000000}"/>
    <hyperlink ref="G55" r:id="rId29" xr:uid="{00000000-0004-0000-0000-00001C000000}"/>
    <hyperlink ref="G66" r:id="rId30" xr:uid="{00000000-0004-0000-0000-00001D000000}"/>
  </hyperlinks>
  <pageMargins left="0.7" right="0.7" top="0.75" bottom="0.75" header="0.3" footer="0.3"/>
  <pageSetup paperSize="9" orientation="portrait" verticalDpi="0"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8"/>
  <sheetViews>
    <sheetView workbookViewId="0"/>
  </sheetViews>
  <sheetFormatPr defaultRowHeight="15" x14ac:dyDescent="0.25"/>
  <cols>
    <col min="1" max="1" width="9" customWidth="1"/>
    <col min="2" max="2" width="8.42578125" customWidth="1"/>
    <col min="3" max="3" width="12.85546875" bestFit="1" customWidth="1"/>
    <col min="4" max="4" width="13.7109375" bestFit="1" customWidth="1"/>
    <col min="5" max="5" width="18.140625" bestFit="1" customWidth="1"/>
    <col min="6" max="7" width="17.42578125" bestFit="1" customWidth="1"/>
    <col min="8" max="8" width="19.7109375" bestFit="1" customWidth="1"/>
    <col min="9" max="9" width="24.7109375" bestFit="1" customWidth="1"/>
    <col min="10" max="10" width="22.85546875" bestFit="1" customWidth="1"/>
    <col min="11" max="11" width="23.85546875" bestFit="1" customWidth="1"/>
    <col min="12" max="12" width="23.28515625" bestFit="1" customWidth="1"/>
    <col min="13" max="13" width="19.85546875" bestFit="1" customWidth="1"/>
  </cols>
  <sheetData>
    <row r="1" spans="1:43" ht="21" x14ac:dyDescent="0.35">
      <c r="A1" s="79" t="s">
        <v>323</v>
      </c>
    </row>
    <row r="2" spans="1:43" x14ac:dyDescent="0.25">
      <c r="A2" s="83" t="s">
        <v>8</v>
      </c>
      <c r="B2" s="83" t="s">
        <v>16</v>
      </c>
      <c r="C2" s="83" t="s">
        <v>284</v>
      </c>
      <c r="D2" s="83" t="s">
        <v>285</v>
      </c>
      <c r="E2" s="84" t="s">
        <v>286</v>
      </c>
      <c r="F2" s="83" t="s">
        <v>287</v>
      </c>
      <c r="G2" s="83" t="s">
        <v>288</v>
      </c>
      <c r="H2" s="83" t="s">
        <v>289</v>
      </c>
      <c r="I2" s="83" t="s">
        <v>118</v>
      </c>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3" x14ac:dyDescent="0.25">
      <c r="A3" s="75" t="s">
        <v>8</v>
      </c>
      <c r="B3" s="75" t="s">
        <v>173</v>
      </c>
      <c r="C3" s="76" t="s">
        <v>367</v>
      </c>
      <c r="D3" s="76" t="s">
        <v>368</v>
      </c>
      <c r="E3" s="76" t="s">
        <v>369</v>
      </c>
      <c r="F3" s="76" t="s">
        <v>370</v>
      </c>
      <c r="G3" s="77" t="s">
        <v>27</v>
      </c>
      <c r="H3" s="77" t="s">
        <v>31</v>
      </c>
      <c r="I3" s="76" t="s">
        <v>371</v>
      </c>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3" x14ac:dyDescent="0.25">
      <c r="A4" s="83" t="s">
        <v>79</v>
      </c>
      <c r="B4" s="83" t="s">
        <v>16</v>
      </c>
      <c r="C4" s="83" t="s">
        <v>118</v>
      </c>
      <c r="D4" s="83" t="s">
        <v>125</v>
      </c>
      <c r="E4" s="83" t="s">
        <v>145</v>
      </c>
      <c r="F4" s="83" t="s">
        <v>88</v>
      </c>
      <c r="G4" s="83" t="s">
        <v>89</v>
      </c>
      <c r="H4" s="83" t="s">
        <v>90</v>
      </c>
      <c r="I4" s="83" t="s">
        <v>174</v>
      </c>
      <c r="J4" s="83" t="s">
        <v>97</v>
      </c>
      <c r="K4" s="83" t="s">
        <v>98</v>
      </c>
      <c r="L4" s="84" t="s">
        <v>93</v>
      </c>
      <c r="M4" s="84" t="s">
        <v>94</v>
      </c>
      <c r="N4" s="84" t="s">
        <v>175</v>
      </c>
      <c r="O4" s="83" t="s">
        <v>176</v>
      </c>
      <c r="P4" s="84" t="s">
        <v>177</v>
      </c>
      <c r="Q4" s="84" t="s">
        <v>178</v>
      </c>
      <c r="R4" s="84" t="s">
        <v>179</v>
      </c>
      <c r="S4" s="83" t="s">
        <v>180</v>
      </c>
      <c r="T4" s="84" t="s">
        <v>181</v>
      </c>
      <c r="U4" s="84" t="s">
        <v>182</v>
      </c>
      <c r="V4" s="84" t="s">
        <v>183</v>
      </c>
      <c r="W4" s="84" t="s">
        <v>184</v>
      </c>
      <c r="X4" s="84" t="s">
        <v>185</v>
      </c>
      <c r="Y4" s="84" t="s">
        <v>186</v>
      </c>
      <c r="Z4" s="84" t="s">
        <v>187</v>
      </c>
      <c r="AA4" s="84" t="s">
        <v>188</v>
      </c>
      <c r="AB4" s="84" t="s">
        <v>189</v>
      </c>
      <c r="AC4" s="84" t="s">
        <v>190</v>
      </c>
      <c r="AD4" s="84" t="s">
        <v>191</v>
      </c>
      <c r="AE4" s="84" t="s">
        <v>192</v>
      </c>
      <c r="AF4" s="84" t="s">
        <v>193</v>
      </c>
      <c r="AG4" s="84" t="s">
        <v>194</v>
      </c>
      <c r="AH4" s="84" t="s">
        <v>195</v>
      </c>
      <c r="AI4" s="84" t="s">
        <v>196</v>
      </c>
      <c r="AJ4" s="84" t="s">
        <v>197</v>
      </c>
      <c r="AK4" s="84" t="s">
        <v>198</v>
      </c>
      <c r="AL4" s="84" t="s">
        <v>199</v>
      </c>
      <c r="AM4" s="84" t="s">
        <v>200</v>
      </c>
      <c r="AN4" s="84" t="s">
        <v>201</v>
      </c>
      <c r="AO4" s="84" t="s">
        <v>202</v>
      </c>
      <c r="AP4" s="84" t="s">
        <v>203</v>
      </c>
      <c r="AQ4" s="84" t="s">
        <v>380</v>
      </c>
    </row>
    <row r="5" spans="1:43" x14ac:dyDescent="0.25">
      <c r="A5" s="74" t="s">
        <v>79</v>
      </c>
      <c r="B5" s="74" t="s">
        <v>173</v>
      </c>
      <c r="C5" s="76" t="s">
        <v>172</v>
      </c>
      <c r="D5" s="74" t="s">
        <v>226</v>
      </c>
      <c r="E5" s="74">
        <v>12</v>
      </c>
      <c r="F5" s="74" t="s">
        <v>228</v>
      </c>
      <c r="G5" s="77" t="s">
        <v>84</v>
      </c>
      <c r="H5" s="74" t="s">
        <v>230</v>
      </c>
      <c r="I5" s="74" t="s">
        <v>231</v>
      </c>
      <c r="J5" s="74" t="s">
        <v>232</v>
      </c>
      <c r="K5" s="74" t="s">
        <v>234</v>
      </c>
      <c r="L5" s="74" t="s">
        <v>233</v>
      </c>
      <c r="M5" s="74" t="s">
        <v>235</v>
      </c>
      <c r="N5" s="74" t="s">
        <v>229</v>
      </c>
      <c r="O5" s="74" t="s">
        <v>238</v>
      </c>
      <c r="P5" s="74" t="s">
        <v>237</v>
      </c>
      <c r="Q5" s="74" t="s">
        <v>239</v>
      </c>
      <c r="R5" s="74" t="s">
        <v>240</v>
      </c>
      <c r="S5" s="74" t="s">
        <v>241</v>
      </c>
      <c r="T5" s="74" t="s">
        <v>242</v>
      </c>
      <c r="U5" s="74" t="s">
        <v>237</v>
      </c>
      <c r="V5" s="74" t="s">
        <v>243</v>
      </c>
      <c r="W5" s="74" t="s">
        <v>244</v>
      </c>
      <c r="X5" s="74" t="s">
        <v>245</v>
      </c>
      <c r="Y5" s="74" t="s">
        <v>246</v>
      </c>
      <c r="Z5" s="74" t="s">
        <v>237</v>
      </c>
      <c r="AA5" s="74" t="s">
        <v>247</v>
      </c>
      <c r="AB5" s="74" t="s">
        <v>248</v>
      </c>
      <c r="AC5" s="74" t="s">
        <v>236</v>
      </c>
      <c r="AD5" s="74" t="s">
        <v>238</v>
      </c>
      <c r="AE5" s="74" t="s">
        <v>249</v>
      </c>
      <c r="AF5" s="74" t="s">
        <v>250</v>
      </c>
      <c r="AG5" s="74" t="s">
        <v>251</v>
      </c>
      <c r="AH5" s="74" t="s">
        <v>254</v>
      </c>
      <c r="AI5" s="74" t="s">
        <v>255</v>
      </c>
      <c r="AJ5" s="74" t="s">
        <v>250</v>
      </c>
      <c r="AK5" s="74" t="s">
        <v>256</v>
      </c>
      <c r="AL5" s="74" t="s">
        <v>257</v>
      </c>
      <c r="AM5" s="74" t="s">
        <v>252</v>
      </c>
      <c r="AN5" s="74" t="s">
        <v>258</v>
      </c>
      <c r="AO5" s="74" t="s">
        <v>259</v>
      </c>
      <c r="AP5" s="74" t="s">
        <v>261</v>
      </c>
      <c r="AQ5" t="s">
        <v>382</v>
      </c>
    </row>
    <row r="6" spans="1:43" x14ac:dyDescent="0.25">
      <c r="A6" s="83" t="s">
        <v>80</v>
      </c>
      <c r="B6" s="83" t="s">
        <v>16</v>
      </c>
      <c r="C6" s="83" t="s">
        <v>118</v>
      </c>
      <c r="D6" s="83" t="s">
        <v>125</v>
      </c>
      <c r="E6" s="83" t="s">
        <v>145</v>
      </c>
      <c r="F6" s="83" t="s">
        <v>204</v>
      </c>
      <c r="G6" s="83" t="s">
        <v>160</v>
      </c>
      <c r="H6" s="83" t="s">
        <v>205</v>
      </c>
      <c r="I6" s="81" t="s">
        <v>207</v>
      </c>
      <c r="J6" s="84" t="s">
        <v>337</v>
      </c>
      <c r="K6" s="84" t="s">
        <v>206</v>
      </c>
      <c r="L6" s="84" t="s">
        <v>338</v>
      </c>
      <c r="M6" s="84" t="s">
        <v>208</v>
      </c>
      <c r="N6" s="84" t="s">
        <v>209</v>
      </c>
      <c r="O6" s="84" t="s">
        <v>210</v>
      </c>
      <c r="P6" s="84" t="s">
        <v>211</v>
      </c>
      <c r="Q6" s="84" t="s">
        <v>212</v>
      </c>
      <c r="R6" s="84" t="s">
        <v>213</v>
      </c>
      <c r="S6" s="84" t="s">
        <v>214</v>
      </c>
      <c r="T6" s="84" t="s">
        <v>215</v>
      </c>
      <c r="U6" s="84" t="s">
        <v>216</v>
      </c>
      <c r="V6" s="15"/>
      <c r="W6" s="15"/>
      <c r="X6" s="15"/>
      <c r="Y6" s="15"/>
      <c r="Z6" s="15"/>
      <c r="AA6" s="15"/>
      <c r="AB6" s="15"/>
      <c r="AC6" s="15"/>
      <c r="AD6" s="15"/>
      <c r="AE6" s="15"/>
      <c r="AF6" s="15"/>
      <c r="AG6" s="15"/>
      <c r="AH6" s="15"/>
      <c r="AI6" s="15"/>
      <c r="AJ6" s="15"/>
      <c r="AK6" s="15"/>
      <c r="AL6" s="15"/>
      <c r="AM6" s="15"/>
      <c r="AN6" s="15"/>
      <c r="AO6" s="15"/>
    </row>
    <row r="7" spans="1:43" x14ac:dyDescent="0.25">
      <c r="A7" s="74" t="s">
        <v>80</v>
      </c>
      <c r="B7" s="74" t="s">
        <v>173</v>
      </c>
      <c r="C7" s="76" t="s">
        <v>172</v>
      </c>
      <c r="D7" s="74" t="s">
        <v>226</v>
      </c>
      <c r="E7" s="74">
        <v>12</v>
      </c>
      <c r="F7" s="74" t="s">
        <v>244</v>
      </c>
      <c r="G7" s="74" t="s">
        <v>262</v>
      </c>
      <c r="H7" s="74" t="s">
        <v>263</v>
      </c>
      <c r="I7" s="74" t="s">
        <v>263</v>
      </c>
      <c r="J7" s="74" t="s">
        <v>264</v>
      </c>
      <c r="K7" s="74" t="s">
        <v>265</v>
      </c>
      <c r="L7" s="78" t="s">
        <v>266</v>
      </c>
      <c r="M7" s="74" t="s">
        <v>253</v>
      </c>
      <c r="N7" s="74" t="s">
        <v>246</v>
      </c>
      <c r="O7" s="74" t="s">
        <v>249</v>
      </c>
      <c r="P7" s="74" t="s">
        <v>267</v>
      </c>
      <c r="Q7" s="74" t="s">
        <v>358</v>
      </c>
      <c r="R7" s="74" t="s">
        <v>359</v>
      </c>
      <c r="S7" s="74" t="s">
        <v>263</v>
      </c>
      <c r="T7" s="74" t="s">
        <v>270</v>
      </c>
      <c r="U7" s="74" t="s">
        <v>271</v>
      </c>
      <c r="V7" s="15"/>
      <c r="W7" s="15"/>
      <c r="X7" s="15"/>
      <c r="Y7" s="15"/>
      <c r="Z7" s="15"/>
      <c r="AA7" s="15"/>
      <c r="AB7" s="15"/>
      <c r="AC7" s="15"/>
      <c r="AD7" s="15"/>
      <c r="AE7" s="15"/>
      <c r="AF7" s="15"/>
      <c r="AG7" s="15"/>
      <c r="AH7" s="15"/>
      <c r="AI7" s="15"/>
      <c r="AJ7" s="15"/>
      <c r="AK7" s="15"/>
      <c r="AL7" s="15"/>
      <c r="AM7" s="15"/>
      <c r="AN7" s="15"/>
      <c r="AO7" s="15"/>
    </row>
    <row r="8" spans="1:43" x14ac:dyDescent="0.25">
      <c r="A8" s="74" t="s">
        <v>80</v>
      </c>
      <c r="B8" s="74" t="s">
        <v>173</v>
      </c>
      <c r="C8" s="76" t="s">
        <v>172</v>
      </c>
      <c r="D8" s="74" t="s">
        <v>226</v>
      </c>
      <c r="E8" s="74">
        <v>12</v>
      </c>
      <c r="F8" s="74" t="s">
        <v>244</v>
      </c>
      <c r="G8" s="74" t="s">
        <v>262</v>
      </c>
      <c r="H8" s="74" t="s">
        <v>263</v>
      </c>
      <c r="I8" s="74" t="s">
        <v>263</v>
      </c>
      <c r="J8" s="74" t="s">
        <v>264</v>
      </c>
      <c r="K8" s="74" t="s">
        <v>265</v>
      </c>
      <c r="L8" s="78" t="s">
        <v>266</v>
      </c>
      <c r="M8" s="74" t="s">
        <v>253</v>
      </c>
      <c r="N8" s="74" t="s">
        <v>246</v>
      </c>
      <c r="O8" s="74" t="s">
        <v>249</v>
      </c>
      <c r="P8" s="74" t="s">
        <v>267</v>
      </c>
      <c r="Q8" s="74" t="s">
        <v>358</v>
      </c>
      <c r="R8" s="74" t="s">
        <v>274</v>
      </c>
      <c r="S8" s="74" t="s">
        <v>263</v>
      </c>
      <c r="T8" s="74" t="s">
        <v>267</v>
      </c>
      <c r="U8" s="74" t="s">
        <v>364</v>
      </c>
      <c r="V8" s="15"/>
      <c r="W8" s="15"/>
      <c r="X8" s="15"/>
      <c r="Y8" s="15"/>
      <c r="Z8" s="15"/>
      <c r="AA8" s="15"/>
      <c r="AB8" s="15"/>
      <c r="AC8" s="15"/>
      <c r="AD8" s="15"/>
      <c r="AE8" s="15"/>
      <c r="AF8" s="15"/>
      <c r="AG8" s="15"/>
      <c r="AH8" s="15"/>
      <c r="AI8" s="15"/>
      <c r="AJ8" s="15"/>
      <c r="AK8" s="15"/>
      <c r="AL8" s="15"/>
      <c r="AM8" s="15"/>
      <c r="AN8" s="15"/>
      <c r="AO8" s="15"/>
    </row>
    <row r="9" spans="1:43" x14ac:dyDescent="0.25">
      <c r="A9" s="74" t="s">
        <v>80</v>
      </c>
      <c r="B9" s="74" t="s">
        <v>173</v>
      </c>
      <c r="C9" s="76" t="s">
        <v>172</v>
      </c>
      <c r="D9" s="74" t="s">
        <v>226</v>
      </c>
      <c r="E9" s="74">
        <v>12</v>
      </c>
      <c r="F9" s="74" t="s">
        <v>244</v>
      </c>
      <c r="G9" s="74" t="s">
        <v>262</v>
      </c>
      <c r="H9" s="74" t="s">
        <v>263</v>
      </c>
      <c r="I9" s="74" t="s">
        <v>267</v>
      </c>
      <c r="J9" s="74" t="s">
        <v>355</v>
      </c>
      <c r="K9" s="74" t="s">
        <v>265</v>
      </c>
      <c r="L9" s="78" t="s">
        <v>357</v>
      </c>
      <c r="M9" s="74" t="s">
        <v>356</v>
      </c>
      <c r="N9" s="74" t="s">
        <v>361</v>
      </c>
      <c r="O9" s="74" t="s">
        <v>362</v>
      </c>
      <c r="P9" s="74" t="s">
        <v>247</v>
      </c>
      <c r="Q9" s="74" t="s">
        <v>358</v>
      </c>
      <c r="R9" s="74" t="s">
        <v>360</v>
      </c>
      <c r="S9" s="74" t="s">
        <v>263</v>
      </c>
      <c r="T9" s="74" t="s">
        <v>270</v>
      </c>
      <c r="U9" s="74" t="s">
        <v>363</v>
      </c>
      <c r="V9" s="15"/>
      <c r="W9" s="15"/>
      <c r="X9" s="15"/>
      <c r="Y9" s="15"/>
      <c r="Z9" s="15"/>
      <c r="AA9" s="15"/>
      <c r="AB9" s="15"/>
      <c r="AC9" s="15"/>
      <c r="AD9" s="15"/>
      <c r="AE9" s="15"/>
      <c r="AF9" s="15"/>
      <c r="AG9" s="15"/>
      <c r="AH9" s="15"/>
      <c r="AI9" s="15"/>
      <c r="AJ9" s="15"/>
      <c r="AK9" s="15"/>
      <c r="AL9" s="15"/>
      <c r="AM9" s="15"/>
      <c r="AN9" s="15"/>
      <c r="AO9" s="15"/>
    </row>
    <row r="10" spans="1:43" x14ac:dyDescent="0.25">
      <c r="A10" s="83" t="s">
        <v>81</v>
      </c>
      <c r="B10" s="83" t="s">
        <v>16</v>
      </c>
      <c r="C10" s="83" t="s">
        <v>118</v>
      </c>
      <c r="D10" s="83" t="s">
        <v>125</v>
      </c>
      <c r="E10" s="83" t="s">
        <v>145</v>
      </c>
      <c r="F10" s="83" t="s">
        <v>160</v>
      </c>
      <c r="G10" s="83" t="s">
        <v>207</v>
      </c>
      <c r="H10" s="84" t="s">
        <v>217</v>
      </c>
      <c r="I10" s="83" t="s">
        <v>218</v>
      </c>
      <c r="J10" s="83" t="s">
        <v>219</v>
      </c>
      <c r="K10" s="83" t="s">
        <v>339</v>
      </c>
      <c r="L10" s="84" t="s">
        <v>220</v>
      </c>
      <c r="M10" s="84" t="s">
        <v>221</v>
      </c>
      <c r="N10" s="84" t="s">
        <v>222</v>
      </c>
      <c r="O10" s="84" t="s">
        <v>223</v>
      </c>
      <c r="P10" s="84" t="s">
        <v>224</v>
      </c>
      <c r="Q10" s="84" t="s">
        <v>225</v>
      </c>
      <c r="R10" s="84" t="s">
        <v>391</v>
      </c>
      <c r="S10" s="84" t="s">
        <v>290</v>
      </c>
      <c r="T10" s="84" t="s">
        <v>291</v>
      </c>
      <c r="U10" s="84" t="s">
        <v>292</v>
      </c>
      <c r="V10" s="84" t="s">
        <v>293</v>
      </c>
      <c r="W10" s="84" t="s">
        <v>294</v>
      </c>
      <c r="X10" s="84" t="s">
        <v>295</v>
      </c>
      <c r="Y10" s="15"/>
      <c r="Z10" s="15"/>
      <c r="AA10" s="15"/>
      <c r="AB10" s="15"/>
      <c r="AC10" s="15"/>
      <c r="AD10" s="15"/>
      <c r="AE10" s="15"/>
      <c r="AF10" s="15"/>
      <c r="AG10" s="15"/>
      <c r="AH10" s="15"/>
      <c r="AI10" s="15"/>
      <c r="AJ10" s="15"/>
      <c r="AK10" s="15"/>
      <c r="AL10" s="15"/>
      <c r="AM10" s="15"/>
      <c r="AN10" s="15"/>
      <c r="AO10" s="15"/>
      <c r="AP10" s="15"/>
      <c r="AQ10" s="15"/>
    </row>
    <row r="11" spans="1:43" x14ac:dyDescent="0.25">
      <c r="A11" s="74" t="s">
        <v>81</v>
      </c>
      <c r="B11" s="74" t="s">
        <v>173</v>
      </c>
      <c r="C11" s="76" t="s">
        <v>172</v>
      </c>
      <c r="D11" s="74" t="s">
        <v>226</v>
      </c>
      <c r="E11" s="74" t="s">
        <v>227</v>
      </c>
      <c r="F11" s="74" t="s">
        <v>262</v>
      </c>
      <c r="G11" s="74" t="s">
        <v>263</v>
      </c>
      <c r="H11" s="74" t="s">
        <v>272</v>
      </c>
      <c r="I11" s="74" t="s">
        <v>270</v>
      </c>
      <c r="J11" s="74" t="s">
        <v>358</v>
      </c>
      <c r="K11" s="74" t="s">
        <v>359</v>
      </c>
      <c r="L11" s="74" t="s">
        <v>273</v>
      </c>
      <c r="M11" s="74" t="s">
        <v>274</v>
      </c>
      <c r="N11" s="74" t="s">
        <v>253</v>
      </c>
      <c r="O11" s="74" t="s">
        <v>275</v>
      </c>
      <c r="P11" s="74" t="s">
        <v>276</v>
      </c>
      <c r="Q11" s="74" t="s">
        <v>277</v>
      </c>
      <c r="R11">
        <v>7</v>
      </c>
      <c r="S11" s="74" t="s">
        <v>278</v>
      </c>
      <c r="T11" s="74" t="s">
        <v>279</v>
      </c>
      <c r="U11" s="74" t="s">
        <v>280</v>
      </c>
      <c r="V11" s="74" t="s">
        <v>281</v>
      </c>
      <c r="W11" s="74" t="s">
        <v>282</v>
      </c>
      <c r="X11" s="74" t="s">
        <v>283</v>
      </c>
      <c r="Y11" s="15"/>
      <c r="Z11" s="15"/>
      <c r="AA11" s="15"/>
      <c r="AB11" s="15"/>
      <c r="AC11" s="15"/>
      <c r="AD11" s="15"/>
      <c r="AE11" s="15"/>
      <c r="AF11" s="15"/>
      <c r="AG11" s="15"/>
      <c r="AH11" s="15"/>
      <c r="AI11" s="15"/>
      <c r="AJ11" s="15"/>
      <c r="AK11" s="15"/>
      <c r="AL11" s="15"/>
      <c r="AM11" s="15"/>
      <c r="AN11" s="15"/>
      <c r="AO11" s="15"/>
      <c r="AP11" s="15"/>
      <c r="AQ11" s="15"/>
    </row>
    <row r="12" spans="1:43" x14ac:dyDescent="0.25">
      <c r="A12" s="74" t="s">
        <v>81</v>
      </c>
      <c r="B12" s="74" t="s">
        <v>173</v>
      </c>
      <c r="C12" s="76" t="s">
        <v>172</v>
      </c>
      <c r="D12" s="74" t="s">
        <v>226</v>
      </c>
      <c r="E12" s="74" t="s">
        <v>227</v>
      </c>
      <c r="F12" s="74" t="s">
        <v>262</v>
      </c>
      <c r="G12" s="74" t="s">
        <v>263</v>
      </c>
      <c r="H12" s="74" t="s">
        <v>272</v>
      </c>
      <c r="I12" s="74" t="s">
        <v>330</v>
      </c>
      <c r="J12" s="74" t="s">
        <v>358</v>
      </c>
      <c r="K12" s="74" t="s">
        <v>274</v>
      </c>
      <c r="L12" s="74" t="s">
        <v>273</v>
      </c>
      <c r="M12" s="74" t="s">
        <v>332</v>
      </c>
      <c r="N12" s="74" t="s">
        <v>253</v>
      </c>
      <c r="O12" s="74" t="s">
        <v>333</v>
      </c>
      <c r="P12" s="74" t="s">
        <v>276</v>
      </c>
      <c r="Q12" s="74" t="s">
        <v>331</v>
      </c>
      <c r="R12">
        <v>3</v>
      </c>
      <c r="S12" s="74"/>
      <c r="T12" s="74" t="s">
        <v>279</v>
      </c>
      <c r="U12" s="74" t="s">
        <v>280</v>
      </c>
      <c r="V12" s="74" t="s">
        <v>281</v>
      </c>
      <c r="W12" s="74" t="s">
        <v>282</v>
      </c>
      <c r="X12" s="74"/>
      <c r="Y12" s="15"/>
      <c r="Z12" s="15"/>
      <c r="AA12" s="15"/>
      <c r="AB12" s="15"/>
      <c r="AC12" s="15"/>
      <c r="AD12" s="15"/>
      <c r="AE12" s="15"/>
      <c r="AF12" s="15"/>
      <c r="AG12" s="15"/>
      <c r="AH12" s="15"/>
      <c r="AI12" s="15"/>
      <c r="AJ12" s="15"/>
      <c r="AK12" s="15"/>
      <c r="AL12" s="15"/>
      <c r="AM12" s="15"/>
      <c r="AN12" s="15"/>
      <c r="AO12" s="15"/>
      <c r="AP12" s="15"/>
      <c r="AQ12" s="15"/>
    </row>
    <row r="13" spans="1:43" x14ac:dyDescent="0.25">
      <c r="A13" s="74" t="s">
        <v>81</v>
      </c>
      <c r="B13" s="74" t="s">
        <v>173</v>
      </c>
      <c r="C13" s="76" t="s">
        <v>172</v>
      </c>
      <c r="D13" s="74" t="s">
        <v>226</v>
      </c>
      <c r="E13" s="74" t="s">
        <v>227</v>
      </c>
      <c r="F13" s="74" t="s">
        <v>262</v>
      </c>
      <c r="G13" s="74" t="s">
        <v>267</v>
      </c>
      <c r="H13" s="74" t="s">
        <v>272</v>
      </c>
      <c r="I13" s="74" t="s">
        <v>277</v>
      </c>
      <c r="J13" s="74" t="s">
        <v>358</v>
      </c>
      <c r="K13" s="74" t="s">
        <v>360</v>
      </c>
      <c r="L13" s="74" t="s">
        <v>273</v>
      </c>
      <c r="M13" s="74" t="s">
        <v>237</v>
      </c>
      <c r="N13" s="74" t="s">
        <v>356</v>
      </c>
      <c r="O13" s="74" t="s">
        <v>365</v>
      </c>
      <c r="P13" s="74" t="s">
        <v>276</v>
      </c>
      <c r="Q13" s="74" t="s">
        <v>270</v>
      </c>
      <c r="R13">
        <v>5</v>
      </c>
      <c r="S13" s="74"/>
      <c r="T13" s="74" t="s">
        <v>279</v>
      </c>
      <c r="U13" s="74" t="s">
        <v>280</v>
      </c>
      <c r="V13" s="74" t="s">
        <v>281</v>
      </c>
      <c r="W13" s="74" t="s">
        <v>282</v>
      </c>
      <c r="X13" s="74" t="s">
        <v>283</v>
      </c>
      <c r="Y13" s="15"/>
      <c r="Z13" s="15"/>
      <c r="AA13" s="15"/>
      <c r="AB13" s="15"/>
      <c r="AC13" s="15"/>
      <c r="AD13" s="15"/>
      <c r="AE13" s="15"/>
      <c r="AF13" s="15"/>
      <c r="AG13" s="15"/>
      <c r="AH13" s="15"/>
      <c r="AI13" s="15"/>
      <c r="AJ13" s="15"/>
      <c r="AK13" s="15"/>
      <c r="AL13" s="15"/>
      <c r="AM13" s="15"/>
      <c r="AN13" s="15"/>
      <c r="AO13" s="15"/>
      <c r="AP13" s="15"/>
      <c r="AQ13" s="15"/>
    </row>
    <row r="14" spans="1:43"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row>
    <row r="15" spans="1:43"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row>
    <row r="16" spans="1:43" x14ac:dyDescent="0.25">
      <c r="A16" s="80" t="s">
        <v>324</v>
      </c>
      <c r="B16" s="80" t="s">
        <v>325</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row>
    <row r="17" spans="1:42" x14ac:dyDescent="0.25">
      <c r="B17" s="80" t="s">
        <v>326</v>
      </c>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row>
    <row r="18" spans="1:42" x14ac:dyDescent="0.25">
      <c r="B18" s="80" t="s">
        <v>327</v>
      </c>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row r="19" spans="1:42" x14ac:dyDescent="0.2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row>
    <row r="20" spans="1:42" x14ac:dyDescent="0.25">
      <c r="A20" s="81"/>
      <c r="B20" s="80" t="s">
        <v>328</v>
      </c>
    </row>
    <row r="21" spans="1:42" x14ac:dyDescent="0.25">
      <c r="A21" s="82"/>
      <c r="B21" s="80" t="s">
        <v>329</v>
      </c>
    </row>
    <row r="22" spans="1:42" x14ac:dyDescent="0.25">
      <c r="A22" s="15"/>
      <c r="B22" s="15"/>
    </row>
    <row r="23" spans="1:42" x14ac:dyDescent="0.25">
      <c r="A23" s="15"/>
      <c r="B23" s="15"/>
    </row>
    <row r="24" spans="1:42" x14ac:dyDescent="0.25">
      <c r="A24" s="15"/>
      <c r="B24" s="15"/>
    </row>
    <row r="25" spans="1:42" x14ac:dyDescent="0.25">
      <c r="A25" s="15"/>
      <c r="B25" s="15"/>
    </row>
    <row r="26" spans="1:42" x14ac:dyDescent="0.25">
      <c r="A26" s="15"/>
      <c r="B26" s="15"/>
    </row>
    <row r="27" spans="1:42" x14ac:dyDescent="0.25">
      <c r="A27" s="15"/>
      <c r="B27" s="15"/>
    </row>
    <row r="28" spans="1:42" x14ac:dyDescent="0.25">
      <c r="A28" s="15"/>
      <c r="B28" s="15"/>
    </row>
    <row r="29" spans="1:42" x14ac:dyDescent="0.25">
      <c r="A29" s="15"/>
      <c r="B29" s="15"/>
    </row>
    <row r="30" spans="1:42" x14ac:dyDescent="0.25">
      <c r="A30" s="15"/>
      <c r="B30" s="15"/>
    </row>
    <row r="31" spans="1:42" x14ac:dyDescent="0.25">
      <c r="A31" s="15"/>
      <c r="B31" s="15"/>
    </row>
    <row r="32" spans="1:42" x14ac:dyDescent="0.25">
      <c r="A32" s="15"/>
      <c r="B32" s="15"/>
    </row>
    <row r="33" spans="1:2" x14ac:dyDescent="0.25">
      <c r="A33" s="15"/>
      <c r="B33" s="15"/>
    </row>
    <row r="34" spans="1:2" x14ac:dyDescent="0.25">
      <c r="A34" s="15"/>
      <c r="B34" s="15"/>
    </row>
    <row r="35" spans="1:2" x14ac:dyDescent="0.25">
      <c r="A35" s="15"/>
      <c r="B35" s="15"/>
    </row>
    <row r="36" spans="1:2" x14ac:dyDescent="0.25">
      <c r="A36" s="15"/>
      <c r="B36" s="15"/>
    </row>
    <row r="37" spans="1:2" x14ac:dyDescent="0.25">
      <c r="A37" s="15"/>
      <c r="B37" s="15"/>
    </row>
    <row r="38" spans="1:2" x14ac:dyDescent="0.25">
      <c r="A38" s="15"/>
      <c r="B38" s="15"/>
    </row>
    <row r="39" spans="1:2" x14ac:dyDescent="0.25">
      <c r="A39" s="15"/>
      <c r="B39" s="15"/>
    </row>
    <row r="40" spans="1:2" x14ac:dyDescent="0.25">
      <c r="A40" s="15"/>
      <c r="B40" s="15"/>
    </row>
    <row r="41" spans="1:2" x14ac:dyDescent="0.25">
      <c r="A41" s="15"/>
      <c r="B41" s="15"/>
    </row>
    <row r="42" spans="1:2" x14ac:dyDescent="0.25">
      <c r="A42" s="15"/>
      <c r="B42" s="15"/>
    </row>
    <row r="43" spans="1:2" x14ac:dyDescent="0.25">
      <c r="A43" s="15"/>
      <c r="B43" s="15"/>
    </row>
    <row r="44" spans="1:2" x14ac:dyDescent="0.25">
      <c r="A44" s="15"/>
      <c r="B44" s="15"/>
    </row>
    <row r="45" spans="1:2" x14ac:dyDescent="0.25">
      <c r="A45" s="15"/>
      <c r="B45" s="15"/>
    </row>
    <row r="46" spans="1:2" x14ac:dyDescent="0.25">
      <c r="A46" s="15"/>
      <c r="B46" s="15"/>
    </row>
    <row r="47" spans="1:2" x14ac:dyDescent="0.25">
      <c r="A47" s="15"/>
      <c r="B47" s="15"/>
    </row>
    <row r="48" spans="1:2" x14ac:dyDescent="0.25">
      <c r="A48" s="15"/>
      <c r="B48"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CSV format description</vt:lpstr>
      <vt:lpstr>Data example</vt:lpstr>
    </vt:vector>
  </TitlesOfParts>
  <Company>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Hjalte Parner</cp:lastModifiedBy>
  <dcterms:created xsi:type="dcterms:W3CDTF">2016-08-22T11:15:11Z</dcterms:created>
  <dcterms:modified xsi:type="dcterms:W3CDTF">2022-03-03T11:25:57Z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14356297-118f-469e-bf84-21eb7a759b64</vt:lpwstr>
  </property>
</Properties>
</file>